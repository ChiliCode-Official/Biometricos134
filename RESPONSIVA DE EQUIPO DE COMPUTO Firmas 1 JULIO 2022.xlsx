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uario09\Downloads\BIOMETRICOS APP\"/>
    </mc:Choice>
  </mc:AlternateContent>
  <bookViews>
    <workbookView xWindow="0" yWindow="0" windowWidth="20490" windowHeight="7530" tabRatio="713" activeTab="10"/>
  </bookViews>
  <sheets>
    <sheet name="GRAFICA DE USO" sheetId="16" r:id="rId1"/>
    <sheet name="ESTADISTICAS" sheetId="6" r:id="rId2"/>
    <sheet name="BIO 1" sheetId="10" r:id="rId3"/>
    <sheet name="BIO 2" sheetId="1" r:id="rId4"/>
    <sheet name="VALE SALIDA" sheetId="3" state="hidden" r:id="rId5"/>
    <sheet name="BIO 3" sheetId="7" r:id="rId6"/>
    <sheet name="BIO 4" sheetId="14" r:id="rId7"/>
    <sheet name="BIO 5" sheetId="11" r:id="rId8"/>
    <sheet name="BIO 6" sheetId="12" r:id="rId9"/>
    <sheet name="BIO 7" sheetId="8" r:id="rId10"/>
    <sheet name="BIO 8" sheetId="13" r:id="rId11"/>
    <sheet name="USUARIOS" sheetId="4" r:id="rId12"/>
    <sheet name="GENERAL" sheetId="5" r:id="rId13"/>
    <sheet name="INTERNET" sheetId="9" r:id="rId14"/>
    <sheet name="LAP A PRESTAMO" sheetId="17" r:id="rId15"/>
  </sheets>
  <definedNames>
    <definedName name="_xlnm._FilterDatabase" localSheetId="1" hidden="1">ESTADISTICAS!$A$3:$T$391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5" i="6" l="1"/>
  <c r="X54" i="6"/>
  <c r="X53" i="6"/>
  <c r="X52" i="6"/>
  <c r="X51" i="6"/>
  <c r="X50" i="6"/>
  <c r="X49" i="6"/>
  <c r="X48" i="6"/>
  <c r="X45" i="6" l="1"/>
  <c r="X46" i="6"/>
  <c r="X47" i="6"/>
  <c r="X44" i="6"/>
  <c r="X41" i="6" l="1"/>
  <c r="X42" i="6"/>
  <c r="X43" i="6"/>
  <c r="A54" i="13" l="1"/>
  <c r="A54" i="8"/>
  <c r="A54" i="12"/>
  <c r="A54" i="11"/>
  <c r="A54" i="14"/>
  <c r="A54" i="7"/>
  <c r="A54" i="1"/>
  <c r="A54" i="10"/>
  <c r="X39" i="6" l="1"/>
  <c r="X40" i="6"/>
  <c r="X36" i="6" l="1"/>
  <c r="X31" i="6"/>
  <c r="R3" i="6"/>
  <c r="P3" i="6" l="1"/>
  <c r="X11" i="6" l="1"/>
  <c r="X20" i="6"/>
  <c r="X30" i="6"/>
  <c r="X17" i="6"/>
  <c r="X24" i="6"/>
  <c r="X35" i="6"/>
  <c r="X12" i="6"/>
  <c r="X15" i="6"/>
  <c r="X28" i="6"/>
  <c r="X33" i="6"/>
  <c r="X34" i="6"/>
  <c r="X19" i="6"/>
  <c r="X13" i="6"/>
  <c r="X26" i="6"/>
  <c r="X32" i="6"/>
  <c r="X21" i="6"/>
  <c r="X27" i="6"/>
  <c r="X9" i="6"/>
  <c r="X6" i="6"/>
  <c r="X37" i="6"/>
  <c r="X23" i="6"/>
  <c r="X38" i="6"/>
  <c r="F9" i="14" l="1"/>
  <c r="F8" i="14"/>
  <c r="F9" i="13"/>
  <c r="F8" i="13"/>
  <c r="F9" i="12"/>
  <c r="F8" i="12"/>
  <c r="F9" i="11"/>
  <c r="F8" i="11"/>
  <c r="F9" i="10"/>
  <c r="F8" i="10"/>
  <c r="F9" i="9" l="1"/>
  <c r="F8" i="9"/>
  <c r="F9" i="5"/>
  <c r="F8" i="5"/>
  <c r="F9" i="8"/>
  <c r="F8" i="8"/>
  <c r="F9" i="7"/>
  <c r="F8" i="7"/>
  <c r="F9" i="1"/>
  <c r="F8" i="1"/>
  <c r="N3" i="6" l="1"/>
  <c r="L3" i="6"/>
  <c r="J3" i="6"/>
  <c r="H3" i="6"/>
  <c r="F3" i="6"/>
  <c r="D3" i="6"/>
  <c r="B3" i="6"/>
  <c r="X29" i="6"/>
  <c r="X14" i="6"/>
  <c r="X25" i="6"/>
  <c r="X16" i="6"/>
  <c r="X7" i="6"/>
  <c r="X22" i="6"/>
  <c r="X18" i="6"/>
  <c r="X8" i="6"/>
  <c r="X10" i="6"/>
  <c r="T3" i="6" l="1"/>
  <c r="X3" i="6" s="1"/>
</calcChain>
</file>

<file path=xl/sharedStrings.xml><?xml version="1.0" encoding="utf-8"?>
<sst xmlns="http://schemas.openxmlformats.org/spreadsheetml/2006/main" count="2298" uniqueCount="420">
  <si>
    <t>RESPONSIVA DE EQUIPO DE COMPUTO</t>
  </si>
  <si>
    <t>OTRO</t>
  </si>
  <si>
    <t>PROCESADOR</t>
  </si>
  <si>
    <t>DISCO DURO</t>
  </si>
  <si>
    <t>MEMORIA RAM</t>
  </si>
  <si>
    <t>UNIDAD 3.5</t>
  </si>
  <si>
    <t>CD-ROM</t>
  </si>
  <si>
    <t>DVD-ROM</t>
  </si>
  <si>
    <t>DESCRIPCION DE SOFTWARE</t>
  </si>
  <si>
    <t>NOMBRE DEL PRODUCTO</t>
  </si>
  <si>
    <t>OBSERVACIONES</t>
  </si>
  <si>
    <t>TIPO</t>
  </si>
  <si>
    <t>MARCA</t>
  </si>
  <si>
    <t>MODELO</t>
  </si>
  <si>
    <t>CAPACIDAD</t>
  </si>
  <si>
    <t>VELOCIDAD</t>
  </si>
  <si>
    <t>DEPARTAMENTO:</t>
  </si>
  <si>
    <t>DESCRIPCION DEL EQUIPO</t>
  </si>
  <si>
    <t>DISPOSITIVOS PERIFERICO</t>
  </si>
  <si>
    <t>Recibi el equipo de computo y software instalado descritos en esta eponsiva como herramienta de trabajo, obligandome en terminos dispuesto por la fracción VI</t>
  </si>
  <si>
    <t>del articulo 134 y por la fracción II y IX del articulo 135 de la Ley Federal del Trabajo. Manifestando que usare y destinare unica y exclusivamente para el desempeño de</t>
  </si>
  <si>
    <t>mis funciones y actividades encomendadas por mi único patrón Lozano Gonzalez Consultores SC</t>
  </si>
  <si>
    <t>Así mismo con la firma de la presente me comprometo a no instalar en el equipo otro software diferente al descrito en la presente responsiva y notificar inmediatamente a</t>
  </si>
  <si>
    <t>a la sociedad cual siniestro y/o requerimiento de servicio ó reparación que llegase a necesitar tanto el equipo como el software.</t>
  </si>
  <si>
    <t xml:space="preserve">En el momento en que me sea requeridad por la sociedad me comprometo a entregar a ésta el equipo y software mencionado, en las mismas condiciones en que los he </t>
  </si>
  <si>
    <t>recibido sin más deterioro que el ocacionado por el uso normal y el transcurso del tiempo.</t>
  </si>
  <si>
    <t>Para el caso de la terminación de la relación laboral por cualquier causa o bién que me sea requerido el equipo en cualquier momento, me obligo a entregar inmediatamente</t>
  </si>
  <si>
    <t>el equipo asignado. Y en el evento de que dicho equipo no lo entregue en el momento que me sea requerido por mi Patrón, ó entregandolo presente algún daño, ya sea</t>
  </si>
  <si>
    <t xml:space="preserve">intencional o negligencia inexcusable me obligo a cubrir el pago de los daños o prejuicios ocacionados, autorizando que me sea descontado de mi pago de salarios o bién </t>
  </si>
  <si>
    <t>me sea descontado de mi finiquito en caso de terminación de la relación laboral.</t>
  </si>
  <si>
    <t>En virtud de lo anterior , desde ahora me hago sabedor del contenidode los articulos 213 en su fracción XVII, articulo 223 fracción I y del articulo 224 de la Ley Federal de la</t>
  </si>
  <si>
    <t>Propiedad industrial y demás realativos aplicables por lo que me responsavilizo de las consecuencias por el mal uso, daño provocado o indebida disposición del hardware</t>
  </si>
  <si>
    <t>o del software desritos o software instalados por mi cuenta,comprometiendome a pagar cualquier sanción, multa, daño o perjuicio ocacionado por mi negligencia o mala</t>
  </si>
  <si>
    <t>fe, obligandome a responder de ello ante la propia sociedad ó ante cualquier tercero que en su caso resulte afectado.</t>
  </si>
  <si>
    <t>La presente responsiva la firmo de conformidad leido su contenido.</t>
  </si>
  <si>
    <t>NOMBRE COMPLETO Y FIRMA</t>
  </si>
  <si>
    <t>_________________________________________</t>
  </si>
  <si>
    <t>No.  SERIE</t>
  </si>
  <si>
    <t>DESCRIPCION</t>
  </si>
  <si>
    <t>MOTIVO DE SALIDA</t>
  </si>
  <si>
    <t>FECHA DE SALIDA:</t>
  </si>
  <si>
    <t>Nº ARTICULOS</t>
  </si>
  <si>
    <r>
      <t>VALE DE SALIDA N</t>
    </r>
    <r>
      <rPr>
        <b/>
        <sz val="11"/>
        <color theme="1"/>
        <rFont val="Calibri"/>
        <family val="2"/>
      </rPr>
      <t>º</t>
    </r>
    <r>
      <rPr>
        <b/>
        <i/>
        <sz val="11"/>
        <color theme="1"/>
        <rFont val="Calibri"/>
        <family val="2"/>
        <scheme val="minor"/>
      </rPr>
      <t xml:space="preserve">: </t>
    </r>
  </si>
  <si>
    <t>AUTORIZACIÓN</t>
  </si>
  <si>
    <t>NOMBRE Y FIRMA</t>
  </si>
  <si>
    <t>_____________________________________________________________</t>
  </si>
  <si>
    <t>FECHA DE ENTRADA:</t>
  </si>
  <si>
    <t xml:space="preserve">WINDOWS </t>
  </si>
  <si>
    <t>PASANTES</t>
  </si>
  <si>
    <t>LAP TOP</t>
  </si>
  <si>
    <t>HP</t>
  </si>
  <si>
    <t>CARGADA</t>
  </si>
  <si>
    <t>IMPRESORA PORTATIL</t>
  </si>
  <si>
    <t>OFFICE JET 200</t>
  </si>
  <si>
    <t>BIOMETRICO</t>
  </si>
  <si>
    <t>U.are.U</t>
  </si>
  <si>
    <t>ROUTER MOBILE</t>
  </si>
  <si>
    <t>4G ELITE</t>
  </si>
  <si>
    <t>El equipo se entrega con cargador para Lap Top, Cargador para Impresora, cable usb de conexión para la impresora desde la Lap Top, Equipo Biometrico y Router Inalambrico MOVIL2</t>
  </si>
  <si>
    <t>MALETIN PORTA LAP</t>
  </si>
  <si>
    <t>NOMBRE DEL USUARIO:</t>
  </si>
  <si>
    <t>FECHA DE ENTREGA DEL EQUIPO</t>
  </si>
  <si>
    <t>DOCKING STATION</t>
  </si>
  <si>
    <t>JESSICA RODRIGUEZ RANGEL</t>
  </si>
  <si>
    <t>SUJEY GONZALEZ</t>
  </si>
  <si>
    <t xml:space="preserve"> CORE I5</t>
  </si>
  <si>
    <t>BIOMETRICO 3</t>
  </si>
  <si>
    <t>EPSON</t>
  </si>
  <si>
    <t>WF-100</t>
  </si>
  <si>
    <t>HID</t>
  </si>
  <si>
    <t>P52E10517</t>
  </si>
  <si>
    <t>El equipo se entrega con cargador para Lap Top, Cargador para Impresora, cable usb de conexión para la impresora desde la Lap Top, Equipo Biometrico</t>
  </si>
  <si>
    <t>ROXANA RAMIREZ HDZ</t>
  </si>
  <si>
    <t>BIOMETRICO 5</t>
  </si>
  <si>
    <t>PASANTE</t>
  </si>
  <si>
    <t>ENTRADA</t>
  </si>
  <si>
    <t>SALIDA</t>
  </si>
  <si>
    <t>BIOMETRICO 1</t>
  </si>
  <si>
    <t>BIOMETRICO 2</t>
  </si>
  <si>
    <t>BIOMETRICO 4</t>
  </si>
  <si>
    <t>BIOMETRICO 6</t>
  </si>
  <si>
    <t>BIOMETRICO 7</t>
  </si>
  <si>
    <t>BIOMETRICO 8</t>
  </si>
  <si>
    <t>Marco Antonio Lanzagorta</t>
  </si>
  <si>
    <t>Rafael Espinoza Bravo</t>
  </si>
  <si>
    <t>Carlos Mauricio Gutierrez</t>
  </si>
  <si>
    <t>Jose Giovanni Loeza</t>
  </si>
  <si>
    <t>GENERAL</t>
  </si>
  <si>
    <t xml:space="preserve">Sujey Gonzalez </t>
  </si>
  <si>
    <t>HP PROBOOK 640 G2</t>
  </si>
  <si>
    <t>Sayuri Luna</t>
  </si>
  <si>
    <t>Balam Quitze Rodriguez</t>
  </si>
  <si>
    <t>Daniel Castellanos Cruz</t>
  </si>
  <si>
    <t>Daniela Gomez Vilchis</t>
  </si>
  <si>
    <t>Roxana Ramírez Hernández</t>
  </si>
  <si>
    <t>Fernando Alvarez López</t>
  </si>
  <si>
    <t>Diego Montejo Mora</t>
  </si>
  <si>
    <t>Miguel Angel Alvarado G.</t>
  </si>
  <si>
    <t>Natalia Gonzalez Juárez</t>
  </si>
  <si>
    <t>SIN INTERNET</t>
  </si>
  <si>
    <t>SE HIZO RECARGA</t>
  </si>
  <si>
    <t>fallo la red</t>
  </si>
  <si>
    <t>SE HIZO RECARGA DE TODAS LAS BAM, A EXCEPCION DEL 6              28 DE ABRIL DE 2023</t>
  </si>
  <si>
    <t>olt_6_10518</t>
  </si>
  <si>
    <t>4G LTE</t>
  </si>
  <si>
    <t>El equipo se entrega con cargador para Lap Top, Cargador para Impresora, cable usb de conexión para la impresora desde la Lap Top, Equipo Biometrico y Router Inalambrico MOVIL4</t>
  </si>
  <si>
    <t>olt_10_10600</t>
  </si>
  <si>
    <t>P52E10600</t>
  </si>
  <si>
    <t>WKHK007063</t>
  </si>
  <si>
    <t>5CG1320D09</t>
  </si>
  <si>
    <t>WKHK007514</t>
  </si>
  <si>
    <t>olt_7_10597</t>
  </si>
  <si>
    <t>4G LT</t>
  </si>
  <si>
    <t>5CG61320BN2</t>
  </si>
  <si>
    <t>Yara Valeria Barrera Gandarias</t>
  </si>
  <si>
    <t>1/4 TONER</t>
  </si>
  <si>
    <t>SE HIZO RECARGA DE TODAS LAS BAM              29 DE MAYO DE 2023</t>
  </si>
  <si>
    <t>Cambio Cartucho BN y Colores</t>
  </si>
  <si>
    <t>U.areU</t>
  </si>
  <si>
    <t>Marca 1/4 Toner</t>
  </si>
  <si>
    <t>Isis Anaid Loyola Vega</t>
  </si>
  <si>
    <t>Cambio de recolector de tinta</t>
  </si>
  <si>
    <t>Jose Miguel García Maravilla</t>
  </si>
  <si>
    <t>Didier Colunga</t>
  </si>
  <si>
    <t>Cambio de Cartucho a Color</t>
  </si>
  <si>
    <t>Cambio de Cartucho B/N y Color</t>
  </si>
  <si>
    <t>Cambio de Cartucho Negro</t>
  </si>
  <si>
    <t>Cambio Cartucho Negro</t>
  </si>
  <si>
    <t>Lizbeth García Alejandre</t>
  </si>
  <si>
    <t>Paula Natalia Alvarez</t>
  </si>
  <si>
    <t>Antonio Reyna Lopez</t>
  </si>
  <si>
    <t>cambio de Cartucho B/N y Color</t>
  </si>
  <si>
    <t>SE HIZO RECARGA DE TODAS LAS BAM              28 DE JULIO DE 2023</t>
  </si>
  <si>
    <t>SE HIZO RECARGA DE TODAS LAS BAM              28 DE JUNIO DE 2023</t>
  </si>
  <si>
    <t>IMEI:866645058867610</t>
  </si>
  <si>
    <t>HP 240 G8</t>
  </si>
  <si>
    <t>HP EliteBook 840</t>
  </si>
  <si>
    <t>N902C300771</t>
  </si>
  <si>
    <t>IMEI:865298031325378</t>
  </si>
  <si>
    <t>U.are.U 5300</t>
  </si>
  <si>
    <t>OfficeJet 200</t>
  </si>
  <si>
    <t>mis funciones y actividades encomendadas por mi único patrón OMAR LOZANO TORRES</t>
  </si>
  <si>
    <t>el área de sistemas cualquier siniestro y/o requerimiento de servicio ó reparación que llegase a necesitar tanto el equipo como el software.</t>
  </si>
  <si>
    <t>recibido sin más deterioro que el ocasionado por el uso normal y el transcurso del tiempo.</t>
  </si>
  <si>
    <t>5CG5502662</t>
  </si>
  <si>
    <t>LENOVO</t>
  </si>
  <si>
    <t>IdeaPad S145</t>
  </si>
  <si>
    <t>PF2Y20EN</t>
  </si>
  <si>
    <t>TH118950JF</t>
  </si>
  <si>
    <t>TH118950DH</t>
  </si>
  <si>
    <t>N902C300772</t>
  </si>
  <si>
    <t>5CG1436JCV</t>
  </si>
  <si>
    <t>240 G8</t>
  </si>
  <si>
    <t>WKHK007540</t>
  </si>
  <si>
    <t>Digital Personal 4500</t>
  </si>
  <si>
    <t>5CG1436JCC</t>
  </si>
  <si>
    <t>WKHK007600</t>
  </si>
  <si>
    <t>P520E10597</t>
  </si>
  <si>
    <t>ProBook 440 G8</t>
  </si>
  <si>
    <t>5CD21752QG</t>
  </si>
  <si>
    <t>WKHK007948</t>
  </si>
  <si>
    <t>P520E10598</t>
  </si>
  <si>
    <t>5GC7192GQM</t>
  </si>
  <si>
    <t>ProBook 640 G2</t>
  </si>
  <si>
    <t>WKHK005642</t>
  </si>
  <si>
    <t>P520E10599</t>
  </si>
  <si>
    <t>Sra. Angelica González</t>
  </si>
  <si>
    <t>Se prestó laptop  LENOVO  ( BIOMETRICO 1)      22/08/2023  con adaptador de Red</t>
  </si>
  <si>
    <t>SE HIZO RECARGA DE TODAS LAS BAM              28 DE AGOSTO DE 2023</t>
  </si>
  <si>
    <t>Brenda Abigail Hernandez J.</t>
  </si>
  <si>
    <t>Regina M. Gallardo Campero</t>
  </si>
  <si>
    <t>María de Lourdes Lara Vargas</t>
  </si>
  <si>
    <t>.</t>
  </si>
  <si>
    <t>SE HIZO RECARGA DE TODAS LAS BAM              25 DE SEPTIEMBRE 2023</t>
  </si>
  <si>
    <t>Alejandra Hernandez Orozco</t>
  </si>
  <si>
    <t>Ingrid Mariel Trinidad Hernandez</t>
  </si>
  <si>
    <t>CAMBIO CARTUCHO DE COLOR 26/09/2023</t>
  </si>
  <si>
    <t>computadora personal</t>
  </si>
  <si>
    <t>Leticia Aguilar Reyes</t>
  </si>
  <si>
    <t>Cambio de Toner Negro</t>
  </si>
  <si>
    <t>CECILIA ROMAN</t>
  </si>
  <si>
    <t>Cecilia Roman</t>
  </si>
  <si>
    <t>SE HIZO RECARGA DE TODAS LAS BAM              27 DE OCTUBRE DEL 2023</t>
  </si>
  <si>
    <t>TONER NEGRO LLENO</t>
  </si>
  <si>
    <t>1/4 TONER NEGRO</t>
  </si>
  <si>
    <t>1/2 TONER NEGRO</t>
  </si>
  <si>
    <t>3/4 TONER NEGRO</t>
  </si>
  <si>
    <t>VACIO</t>
  </si>
  <si>
    <t xml:space="preserve">MENOS DE 1/4 </t>
  </si>
  <si>
    <t>CAMBIO DE TONER NEGRO</t>
  </si>
  <si>
    <t>Mariela Iveth López Cárdenas</t>
  </si>
  <si>
    <t>Guillermo Gonzalez Cravioto</t>
  </si>
  <si>
    <t>Jessica Rodríguez Rangel</t>
  </si>
  <si>
    <t>Eduardo Francisco Botello</t>
  </si>
  <si>
    <t>SE HIZO RECARGA DE TODAS LAS BAM              24 DE NOVIEMBRE DEL 2023</t>
  </si>
  <si>
    <t>RECARGA $100 DE INTERNET</t>
  </si>
  <si>
    <t>A</t>
  </si>
  <si>
    <t>C</t>
  </si>
  <si>
    <t>CAMBIO CARTUCHO COLOR</t>
  </si>
  <si>
    <t>Raymundo Pelaez Hernandez</t>
  </si>
  <si>
    <t>Pablo Martinez Gil</t>
  </si>
  <si>
    <t>Celeste García Torres</t>
  </si>
  <si>
    <t>CAMBIO COLOR NEGRO</t>
  </si>
  <si>
    <t>Aaron Mauricio Sanchez Castañeda</t>
  </si>
  <si>
    <t>23/01/2024 CAMBIO COLOR NEGRO</t>
  </si>
  <si>
    <t>134-A</t>
  </si>
  <si>
    <t>Emilio Garcia Cielo</t>
  </si>
  <si>
    <t>EMILIO GARCIA CIELO</t>
  </si>
  <si>
    <t>SE HIZO RECARGA DE TODAS LAS BAM              02 DE ENERO DE 2024    VIGENCIA A 01 DE FEBRERO 2024</t>
  </si>
  <si>
    <t xml:space="preserve"> </t>
  </si>
  <si>
    <t>CAMBIO CARTUCHO BN</t>
  </si>
  <si>
    <t>Helmont Guillermo Guevara</t>
  </si>
  <si>
    <t>ESTA HOJA, FUE IMPRESA DESDE EL EQUIPO, LO QUE CONFIRMA EL CORRECTO FUNCIONAMIENTO DE LA LAP TOP Y DE LA IMPRESORA</t>
  </si>
  <si>
    <t>__________________________________________</t>
  </si>
  <si>
    <t>CAMBIO CARTUCHO COLORES</t>
  </si>
  <si>
    <t>CAMBIO CONTENER TONER</t>
  </si>
  <si>
    <t>Anabele Flores Plata</t>
  </si>
  <si>
    <t>Joshoa Vargas Reyes</t>
  </si>
  <si>
    <t>Zeltzin Judith Martinez Yañez</t>
  </si>
  <si>
    <t>DANIEL BASILIO</t>
  </si>
  <si>
    <t>Daniel Basilio</t>
  </si>
  <si>
    <t>YAIR ALEXIS GARCÍA RAMÍREZ</t>
  </si>
  <si>
    <t>Yair Alexis García Ramírez</t>
  </si>
  <si>
    <t>SE HIZO RECARGA DE TODAS LAS BAM              03 DE MAYO DE 2024    VIGENCIA A 01 DE FEBRERO 2024</t>
  </si>
  <si>
    <t>SE HIZO RECARGA DE TODAS LAS BAM              02 DE ABRIL DE 2024    VIGENCIA A 01 DE FEBRERO 2024</t>
  </si>
  <si>
    <t>CAMBIO RECOLECTOR TONER</t>
  </si>
  <si>
    <t>Teclado</t>
  </si>
  <si>
    <t>Atziri de la Rosa</t>
  </si>
  <si>
    <t>SE HIZO RECARGA DE TODAS LAS BAM              04 DE JULIO DE 2024    VIGENCIA A 04 DE AGOSTO 2024</t>
  </si>
  <si>
    <t>SE HIZO RECARGA DE TODAS LAS BAM              03 DE JUNIO DE 2024    VIGENCIA A 03 DE JUNIO 2024</t>
  </si>
  <si>
    <t>Omar López Albarrán</t>
  </si>
  <si>
    <t>JESUS MATEO HERNANDEZ ORTIZ</t>
  </si>
  <si>
    <t>Jesus Mateo Hernandez Ortiz</t>
  </si>
  <si>
    <t>Cambio de Cartucho negro</t>
  </si>
  <si>
    <t>CAMBIO DE CARTUCHO NEGRO</t>
  </si>
  <si>
    <t>CESAR RODRIGO GONZALEZ RUIZ</t>
  </si>
  <si>
    <t>Cesar Rodrigo Gonzalez Ruiz</t>
  </si>
  <si>
    <t>CAMBIO DE CARTUCHO BN</t>
  </si>
  <si>
    <t>SE HIZO RECARGA DE TODAS LAS BAM              29 DE JULIO DE 2024    VIGENCIA A 28 DE AGOSTO 2024</t>
  </si>
  <si>
    <t>DIANA BOLAÑOS</t>
  </si>
  <si>
    <t>MESA DE CONTROL</t>
  </si>
  <si>
    <t>SE ENTREGA CON CARGADOR, MARCADA CON LA LETRA D</t>
  </si>
  <si>
    <t>SE HIZO RECARGA DE TODAS LAS BAM              28 DE AGOSTO DE 2024    VIGENCIA A 29 DE SEPTIEMBRE 2024</t>
  </si>
  <si>
    <t xml:space="preserve"> p</t>
  </si>
  <si>
    <t>LETRA A</t>
  </si>
  <si>
    <t>LETRA C</t>
  </si>
  <si>
    <t>DONOVAN ALVAREZ LOPEZ</t>
  </si>
  <si>
    <t>83 mb</t>
  </si>
  <si>
    <t>2.6 gb</t>
  </si>
  <si>
    <t>2.5 gb</t>
  </si>
  <si>
    <t>594 mb</t>
  </si>
  <si>
    <t>1.25 gb</t>
  </si>
  <si>
    <t>4786 mg</t>
  </si>
  <si>
    <t>cambio de contenedor</t>
  </si>
  <si>
    <t>1994 mb</t>
  </si>
  <si>
    <t>55 13 92 13 97</t>
  </si>
  <si>
    <t>55 37 16 67 30</t>
  </si>
  <si>
    <t>55 21 12 29 45</t>
  </si>
  <si>
    <t>55 74 82 60 26</t>
  </si>
  <si>
    <t>55 22 99 60 18</t>
  </si>
  <si>
    <t>55 61 55 38 52</t>
  </si>
  <si>
    <t>55 47 85 81 57</t>
  </si>
  <si>
    <t xml:space="preserve">55 49 16 78 44 </t>
  </si>
  <si>
    <t>1.99 Gb</t>
  </si>
  <si>
    <t>331 mb</t>
  </si>
  <si>
    <t>Javier Medina Rojas</t>
  </si>
  <si>
    <t>742 mb</t>
  </si>
  <si>
    <t>SE HIZO RECARGA DE TODAS LAS BAM              27 DE SEPRIEMBRE DE 2024    VIGENCIA A 28 DE OCTUBRE 2024</t>
  </si>
  <si>
    <t>Cambio de cartucho negro</t>
  </si>
  <si>
    <t>Valeria Carrillo Gordillo</t>
  </si>
  <si>
    <t>VALERIA ALEJANDRA CARRILLO GORDILLO</t>
  </si>
  <si>
    <t>ROBERTO CARLOS CISNEROS G.</t>
  </si>
  <si>
    <t xml:space="preserve">Roberto Carlos Cisneros G. </t>
  </si>
  <si>
    <t>928 mg hasta el 26/10/2024</t>
  </si>
  <si>
    <t>sin saldo</t>
  </si>
  <si>
    <t>CAMBIO DE CARTUCHO N</t>
  </si>
  <si>
    <t>SE HIZO RECARGA DE TODAS LAS BAM              25 DE OCTUBRE DE 2024    VIGENCIA A 25 DE NOVIEMBRE 2024</t>
  </si>
  <si>
    <t>134 F</t>
  </si>
  <si>
    <t>Gabriela Sanchez</t>
  </si>
  <si>
    <t>CONTROL</t>
  </si>
  <si>
    <t>USUARIO</t>
  </si>
  <si>
    <t>FECHA</t>
  </si>
  <si>
    <t>134 A</t>
  </si>
  <si>
    <t>134 C</t>
  </si>
  <si>
    <t>134 F Lenovo</t>
  </si>
  <si>
    <t>LUISA FERNANDA VELASQUEZ V.</t>
  </si>
  <si>
    <t>Luisa Fernanda Velasquez V.</t>
  </si>
  <si>
    <t>Yadira Carrillo</t>
  </si>
  <si>
    <t>Se lleva su computadora de trabajo</t>
  </si>
  <si>
    <t>YADIRA BERNAL</t>
  </si>
  <si>
    <t>Yadira Bernal</t>
  </si>
  <si>
    <t>SE HIZO RECARGA DE TODAS LAS BAM              26 DE NOVIEMBRE DE 2024    VIGENCIA A 25 DE DICIEMBRE 2024</t>
  </si>
  <si>
    <t>SIN TONER NEGRO</t>
  </si>
  <si>
    <t>CAMBIO CARTUCHO NEGRO</t>
  </si>
  <si>
    <t>CAMBIO CARTUCHO NEGRO Y DE COLOR</t>
  </si>
  <si>
    <t>SIN CONTENEDOR DE TONER</t>
  </si>
  <si>
    <t>4 TINTAS NEGRAS EPSON, 2 TINTAS DE COLORES EPSON, 8 CONTENEDORES PARA TINTAS EPSON    23 DICIEMBRE 2024</t>
  </si>
  <si>
    <t>CAMBIO DE CONTENEDOR DE TINTA</t>
  </si>
  <si>
    <t>SE HIZO RECARGA DE TODAS LAS BAM              27 DE DICIEMBRE DE 2024    VIGENCIA A 25 DE ENERO 2025</t>
  </si>
  <si>
    <t>CAMBIO CARTUCHO B/N Y COLOR</t>
  </si>
  <si>
    <t>María de Lourdes Lara</t>
  </si>
  <si>
    <t>Donovan Alvarez Lopez</t>
  </si>
  <si>
    <t>Cambio Cartucho B/N, Color y Caja recolectora</t>
  </si>
  <si>
    <t>LUISA FERNANDA VELAZQUEZ V.</t>
  </si>
  <si>
    <t>PAULO CESAR NEGRETE</t>
  </si>
  <si>
    <t>Paulo Cesar Negrete</t>
  </si>
  <si>
    <t>Estephany Paola Ramirez Sierra</t>
  </si>
  <si>
    <t>SE HIZO RECARGA DE TODAS LAS BAM              28 DE MARZO DE 2025    VIGENCIA A 29 DE ABRIL 2025</t>
  </si>
  <si>
    <t>Jacob Dorantes</t>
  </si>
  <si>
    <t>JACOB DORANTES RANGEL</t>
  </si>
  <si>
    <t>CAMBIO DE DEPOSITO DE TONER</t>
  </si>
  <si>
    <t>CAMBIO DE DEPOSITO TONER</t>
  </si>
  <si>
    <t>MARIO  ALERTO MONDRAGON MORALES</t>
  </si>
  <si>
    <t xml:space="preserve">Mario Alberto Mondragon </t>
  </si>
  <si>
    <t>SE HIZO RECARGA DE TODAS LAS BAM              28 DE ABRIL DE 2025    VIGENCIA A 29 DE MAYO 2025</t>
  </si>
  <si>
    <t>Melany Gabriela Ramon Gutierrez</t>
  </si>
  <si>
    <t>Yessica Sussly Vazquez Torres</t>
  </si>
  <si>
    <t>XIMENA ANGELES HERNANDEZ</t>
  </si>
  <si>
    <t>Ximena Angeles Hernandez</t>
  </si>
  <si>
    <t>MIREYA PACHECO</t>
  </si>
  <si>
    <t>Mireya Pacheco</t>
  </si>
  <si>
    <t>SE HIZO RECARGA DE TODAS LAS BAM              27 DE MAYO DE 2025    VIGENCIA A 27 DE JUNIO 2025</t>
  </si>
  <si>
    <t>ZYANYA MONSERRAT VIDRIO G</t>
  </si>
  <si>
    <t>FRIDA VALENTINA BECERRA VILLEGAS</t>
  </si>
  <si>
    <t>estephany Paola Ramirez Sierra</t>
  </si>
  <si>
    <t>PATRICIO BARRON CAMACHO</t>
  </si>
  <si>
    <t>Patricio Barron</t>
  </si>
  <si>
    <t>Frida Valentina Becerra Villegas</t>
  </si>
  <si>
    <t>JULIETA AYLIN FUENTES PEDRAZA</t>
  </si>
  <si>
    <t>Julieta Aylin</t>
  </si>
  <si>
    <t>Isai Zuñiga García</t>
  </si>
  <si>
    <t>ISAI ZUÑIGA GARCIA</t>
  </si>
  <si>
    <t>VIRIDIANA GARCIA HERNANDEZ</t>
  </si>
  <si>
    <t>Viridiana García Hernández</t>
  </si>
  <si>
    <t>SE HIZO RECARGA DE TODAS LAS BAM              27 DE JUNIO DE 2025    VIGENCIA A 28 DE JULIO 2025</t>
  </si>
  <si>
    <t>ROGER ROGELIO RAMIREZ ALVARADO</t>
  </si>
  <si>
    <t>KARLA IRERI MEDINA ROJAS</t>
  </si>
  <si>
    <t>Karla Ireri Medina Rojas</t>
  </si>
  <si>
    <t>Roxana</t>
  </si>
  <si>
    <t>SE HIZO RECARGA DE TODAS LAS BAM              28 DE JULIO DE 2025    VIGENCIA A 27 DE AGOSTO 2025</t>
  </si>
  <si>
    <t>Jorge Isaias Rivas Ibarra</t>
  </si>
  <si>
    <t>ALDO CONTRERAS GARCIA</t>
  </si>
  <si>
    <t>Aldo Contreras Garcia</t>
  </si>
  <si>
    <t>HUGO ZAID ARTEAGA JIMENEZ</t>
  </si>
  <si>
    <t>Hugo Zaid Arteaga</t>
  </si>
  <si>
    <t>GISELL CONTRERAS</t>
  </si>
  <si>
    <t>Gisell Contreras</t>
  </si>
  <si>
    <t>Yeidckol Daniela Vega Rivero</t>
  </si>
  <si>
    <t>YEIDCKOL DANIELA VEGA RIVERO</t>
  </si>
  <si>
    <t>GABRIEL SANCHEZ DAVILA</t>
  </si>
  <si>
    <t>Gabriel Sanchez Davila</t>
  </si>
  <si>
    <t>CAMBIO CARTUCHO NEGRO, COLOR Y RECOLECTOR</t>
  </si>
  <si>
    <t>Roger Rogelio Ramírez Alvarado</t>
  </si>
  <si>
    <t>SE HIZO RECARGA DE TODAS LAS BAM              28 DE AGOSTO DE 2025    VIGENCIA A 28 DE SEPTIEMBRE 2025</t>
  </si>
  <si>
    <t>SE HIZO RECARGA DE TODAS LAS BAM              30 DE SEPTIEMBRE DE 2025    VIGENCIA A 27 DE OCTUBRE  2025</t>
  </si>
  <si>
    <t>MANUEL ALEJANDRO GUTIERREZ MORAN</t>
  </si>
  <si>
    <t>Manuel Alejandro Gutierrez Moran</t>
  </si>
  <si>
    <t>JORGE ISAIAS RIVAS IBARRA</t>
  </si>
  <si>
    <t>MONSERRAT ROMERO BORJA</t>
  </si>
  <si>
    <t>SE HIZO RECARGA DE TODAS LAS BAM              28 DE OCTUBRE DE 2025    VIGENCIA A 28 DE NOVIEMBRE  2025</t>
  </si>
  <si>
    <t>Monserrat Romero Borja</t>
  </si>
  <si>
    <t>PAOLA ROSSLEY MADARIAGA</t>
  </si>
  <si>
    <t>Paola Rossley Madariaga</t>
  </si>
  <si>
    <t>SE HIZO RECARGA DE TODAS LAS BAM              01 DE DICIEMBRE DE 2025    VIGENCIA A 30 DE DICIEMBRE  2025</t>
  </si>
  <si>
    <t>DIEGO LINARES ALVAREZ</t>
  </si>
  <si>
    <t>Diego Linares Alvarez</t>
  </si>
  <si>
    <t>SILVIA ESQUIVEL</t>
  </si>
  <si>
    <t>Silvia Esquivel Rocha</t>
  </si>
  <si>
    <t>Pasante de Miguel Angel Linares</t>
  </si>
  <si>
    <t>YAREMI JOCELIN MONDRAGON GARCIA</t>
  </si>
  <si>
    <t>MONICA ELIZABETH TABLEROS TEJEIDA</t>
  </si>
  <si>
    <t>Pasante de Roberto Cisneros</t>
  </si>
  <si>
    <t xml:space="preserve">                                      </t>
  </si>
  <si>
    <t>JIMENA BARRON FLORES</t>
  </si>
  <si>
    <t>Pasante Minerva</t>
  </si>
  <si>
    <t>EUNICE VANESSA DOMINGUEZ MARTINEZ</t>
  </si>
  <si>
    <t>MILTON FEDERICO VEGA ARTEAGA</t>
  </si>
  <si>
    <t xml:space="preserve">Pasante de Nabil </t>
  </si>
  <si>
    <t>LUIS ALEJANDRO</t>
  </si>
  <si>
    <t>Pasante de Yadira</t>
  </si>
  <si>
    <t>ALAN GARCIA NOLASCO</t>
  </si>
  <si>
    <t>Alan García Nolasco</t>
  </si>
  <si>
    <t>SE HIZO RECARGA DE TODAS LAS BAM              23 DE ENERO DE 2026    VIGENCIA A 23 DE FEBRERO 2026</t>
  </si>
  <si>
    <t>KAREN MONTES DE OCA PEREZ</t>
  </si>
  <si>
    <t>PROBOOK</t>
  </si>
  <si>
    <t>EQUIPO DE COMPUTO PARA PRESTAMO</t>
  </si>
  <si>
    <t>Eunice Vanessa Dominguez Martínez</t>
  </si>
  <si>
    <t>|</t>
  </si>
  <si>
    <t>CAMBIO DE CARTUCHO BN Y COLOR</t>
  </si>
  <si>
    <t>ALBERTO OROZCO VILALVA</t>
  </si>
  <si>
    <t>CAMBIO DE CARTUCHO BN Y A COLOR</t>
  </si>
  <si>
    <t>SE HIZO RECARGA DE TODAS LAS BAM              23 DE FEBRERO DE 2026    VIGENCIA A 23 DE MARZO 2026</t>
  </si>
  <si>
    <t>EMILIANO TOVAR ROMERO</t>
  </si>
  <si>
    <t>Emiliano Tovar Romero</t>
  </si>
  <si>
    <t>Monica Elizabeth Tableros Tejeida</t>
  </si>
  <si>
    <t>SE HIZO RECARGA DE TODAS LAS BAM              23 DE MARZO DE 2026    VIGENCIA A 23 DE ABRIL 2026</t>
  </si>
  <si>
    <t>ROXANA RAMIREZ</t>
  </si>
  <si>
    <t>Karen Montes de Oca</t>
  </si>
  <si>
    <t>Anabel</t>
  </si>
  <si>
    <t>Se entrega con Cargador y la Bateria, NO FUNCIONA</t>
  </si>
  <si>
    <t>SE ENTREGA CON CARGADOR, LA BATERIA INTERNA SIRVE. LA MAQUINA ESTA MARCADA CON LA LETRA "A"</t>
  </si>
  <si>
    <t>Cargador, Bateria Funcionando  (USUARIO08)</t>
  </si>
  <si>
    <t>ANABEL FLORES PLATA</t>
  </si>
  <si>
    <t>MARIANO JAHEN HERNANDEZ</t>
  </si>
  <si>
    <t>Mariano Jahen Hernandez</t>
  </si>
  <si>
    <t>ALEJANDRO CRUZ HERNANDEZ</t>
  </si>
  <si>
    <t>Alejandro Cruz Hernandez</t>
  </si>
  <si>
    <t>Jimena Barron Flores</t>
  </si>
  <si>
    <t>Cambio de cartucho BN</t>
  </si>
  <si>
    <t>SE HIZO RECARGA DE TODAS LAS BAM              23 DE ABRIL DE 2026    VIGENCIA A 23 DE MAYO 2026</t>
  </si>
  <si>
    <t>STEEF ALEXIS HERNANDEZ VAZQUEZ</t>
  </si>
  <si>
    <t>Steef Alexis Hernández Vazquez</t>
  </si>
  <si>
    <t>KARLA GOMEZ PERALTA</t>
  </si>
  <si>
    <t>Cambio de Cartucho a COLOR</t>
  </si>
  <si>
    <t>Alberto Orozco</t>
  </si>
  <si>
    <t>DANIEL EMILIANO ROJAS MORALES</t>
  </si>
  <si>
    <t>Karla Gomez Peralta</t>
  </si>
  <si>
    <t>Daniel Emiliano Rojas Morales</t>
  </si>
  <si>
    <t>SE HIZO RECARGA DE TODAS LAS BAM              23 DE MAYO DE 2026    VIGENCIA A 23 DE JUNIO 2026</t>
  </si>
  <si>
    <t>SE HIZO RECARGA DE TODAS LAS BAM              23 DE JUNIO DE 2026    VIGENCIA A 23 DE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</si>
</sst>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.5"/>
      <color rgb="FF111111"/>
      <name val="Arial"/>
      <family val="2"/>
    </font>
    <font>
      <b/>
      <sz val="10.5"/>
      <color rgb="FF111111"/>
      <name val="Arial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/>
    <xf numFmtId="0" fontId="6" fillId="0" borderId="14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6" xfId="0" applyFont="1" applyBorder="1"/>
    <xf numFmtId="0" fontId="6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23" xfId="0" applyBorder="1"/>
    <xf numFmtId="0" fontId="1" fillId="0" borderId="2" xfId="0" applyFont="1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9" fillId="0" borderId="0" xfId="0" applyFont="1" applyAlignment="1">
      <alignment horizontal="right"/>
    </xf>
    <xf numFmtId="0" fontId="0" fillId="0" borderId="24" xfId="0" applyBorder="1"/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31" xfId="0" applyBorder="1"/>
    <xf numFmtId="0" fontId="0" fillId="0" borderId="13" xfId="0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3" xfId="0" applyFont="1" applyBorder="1" applyAlignment="1">
      <alignment horizontal="left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0" xfId="0" applyFont="1" applyBorder="1"/>
    <xf numFmtId="0" fontId="6" fillId="0" borderId="0" xfId="0" applyFont="1"/>
    <xf numFmtId="0" fontId="6" fillId="0" borderId="21" xfId="0" applyFont="1" applyBorder="1"/>
    <xf numFmtId="0" fontId="6" fillId="0" borderId="2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0" borderId="1" xfId="0" applyFont="1" applyBorder="1"/>
    <xf numFmtId="0" fontId="6" fillId="0" borderId="10" xfId="0" applyFont="1" applyBorder="1"/>
    <xf numFmtId="0" fontId="6" fillId="2" borderId="13" xfId="0" applyFont="1" applyFill="1" applyBorder="1" applyAlignment="1">
      <alignment horizontal="center"/>
    </xf>
    <xf numFmtId="0" fontId="6" fillId="0" borderId="15" xfId="0" applyFont="1" applyBorder="1"/>
    <xf numFmtId="0" fontId="6" fillId="0" borderId="1" xfId="0" applyFont="1" applyBorder="1" applyAlignment="1">
      <alignment horizontal="center"/>
    </xf>
    <xf numFmtId="9" fontId="6" fillId="0" borderId="12" xfId="0" applyNumberFormat="1" applyFont="1" applyBorder="1" applyAlignment="1">
      <alignment horizontal="center"/>
    </xf>
    <xf numFmtId="0" fontId="6" fillId="0" borderId="38" xfId="0" applyFont="1" applyBorder="1"/>
    <xf numFmtId="0" fontId="6" fillId="0" borderId="40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9" fontId="6" fillId="0" borderId="40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 vertical="center" wrapText="1"/>
    </xf>
    <xf numFmtId="164" fontId="6" fillId="0" borderId="24" xfId="0" applyNumberFormat="1" applyFont="1" applyBorder="1" applyAlignment="1">
      <alignment horizontal="center"/>
    </xf>
    <xf numFmtId="0" fontId="7" fillId="0" borderId="18" xfId="0" applyFont="1" applyBorder="1"/>
    <xf numFmtId="1" fontId="6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16" fillId="3" borderId="45" xfId="0" applyFont="1" applyFill="1" applyBorder="1" applyAlignment="1">
      <alignment horizontal="center"/>
    </xf>
    <xf numFmtId="0" fontId="16" fillId="3" borderId="46" xfId="0" applyFont="1" applyFill="1" applyBorder="1" applyAlignment="1">
      <alignment horizontal="center"/>
    </xf>
    <xf numFmtId="14" fontId="16" fillId="3" borderId="45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4" fillId="4" borderId="0" xfId="0" applyFont="1" applyFill="1"/>
    <xf numFmtId="19" fontId="6" fillId="0" borderId="24" xfId="0" applyNumberFormat="1" applyFont="1" applyBorder="1" applyAlignment="1">
      <alignment horizontal="center"/>
    </xf>
    <xf numFmtId="0" fontId="0" fillId="5" borderId="0" xfId="0" applyFill="1"/>
    <xf numFmtId="14" fontId="0" fillId="5" borderId="0" xfId="0" applyNumberFormat="1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4" borderId="0" xfId="0" applyFont="1" applyFill="1"/>
    <xf numFmtId="0" fontId="14" fillId="6" borderId="0" xfId="0" applyFont="1" applyFill="1"/>
    <xf numFmtId="0" fontId="0" fillId="7" borderId="1" xfId="0" applyFill="1" applyBorder="1"/>
    <xf numFmtId="0" fontId="19" fillId="8" borderId="0" xfId="0" applyFont="1" applyFill="1"/>
    <xf numFmtId="0" fontId="19" fillId="0" borderId="0" xfId="0" applyFont="1"/>
    <xf numFmtId="1" fontId="0" fillId="0" borderId="0" xfId="0" applyNumberFormat="1"/>
    <xf numFmtId="1" fontId="20" fillId="0" borderId="1" xfId="0" applyNumberFormat="1" applyFont="1" applyBorder="1" applyAlignment="1">
      <alignment horizontal="center"/>
    </xf>
    <xf numFmtId="0" fontId="21" fillId="0" borderId="0" xfId="0" applyFont="1"/>
    <xf numFmtId="14" fontId="0" fillId="5" borderId="0" xfId="0" applyNumberFormat="1" applyFill="1"/>
    <xf numFmtId="0" fontId="1" fillId="12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1" fillId="14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15" borderId="24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5" borderId="7" xfId="0" applyFill="1" applyBorder="1"/>
    <xf numFmtId="0" fontId="0" fillId="0" borderId="7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4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5" borderId="0" xfId="0" applyNumberFormat="1" applyFill="1" applyAlignment="1">
      <alignment horizontal="left"/>
    </xf>
    <xf numFmtId="0" fontId="14" fillId="16" borderId="0" xfId="0" applyFont="1" applyFill="1"/>
    <xf numFmtId="0" fontId="0" fillId="5" borderId="0" xfId="0" applyFill="1" applyAlignment="1">
      <alignment horizontal="left"/>
    </xf>
    <xf numFmtId="0" fontId="18" fillId="5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17" fontId="0" fillId="5" borderId="1" xfId="0" applyNumberForma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15" fillId="3" borderId="42" xfId="0" applyFont="1" applyFill="1" applyBorder="1" applyAlignment="1">
      <alignment horizontal="center"/>
    </xf>
    <xf numFmtId="0" fontId="15" fillId="3" borderId="43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left"/>
    </xf>
    <xf numFmtId="0" fontId="6" fillId="0" borderId="23" xfId="0" applyFont="1" applyBorder="1" applyAlignment="1">
      <alignment horizontal="left"/>
    </xf>
    <xf numFmtId="0" fontId="19" fillId="9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14" fontId="1" fillId="17" borderId="0" xfId="0" applyNumberFormat="1" applyFont="1" applyFill="1" applyAlignment="1">
      <alignment horizontal="center"/>
    </xf>
    <xf numFmtId="0" fontId="14" fillId="3" borderId="41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/>
    </xf>
    <xf numFmtId="14" fontId="21" fillId="10" borderId="0" xfId="0" applyNumberFormat="1" applyFont="1" applyFill="1" applyAlignment="1">
      <alignment horizontal="center"/>
    </xf>
    <xf numFmtId="0" fontId="1" fillId="0" borderId="47" xfId="0" applyFont="1" applyBorder="1" applyAlignment="1">
      <alignment horizontal="center"/>
    </xf>
    <xf numFmtId="14" fontId="15" fillId="3" borderId="42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6" fillId="0" borderId="37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11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5" borderId="28" xfId="0" applyFont="1" applyFill="1" applyBorder="1"/>
    <xf numFmtId="0" fontId="6" fillId="5" borderId="32" xfId="0" applyFont="1" applyFill="1" applyBorder="1"/>
    <xf numFmtId="0" fontId="6" fillId="5" borderId="29" xfId="0" applyFont="1" applyFill="1" applyBorder="1"/>
    <xf numFmtId="0" fontId="6" fillId="5" borderId="12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small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2000" b="1" i="0" cap="small" baseline="0"/>
              <a:t>Uso de Biometricos por Pasante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small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ESTADISTICAS!$W$7:$W$38</c:f>
              <c:strCache>
                <c:ptCount val="32"/>
                <c:pt idx="0">
                  <c:v>Sayuri Luna</c:v>
                </c:pt>
                <c:pt idx="1">
                  <c:v>Diego Montejo Mora</c:v>
                </c:pt>
                <c:pt idx="2">
                  <c:v>María de Lourdes Lara Vargas</c:v>
                </c:pt>
                <c:pt idx="3">
                  <c:v>Balam Quitze Rodriguez</c:v>
                </c:pt>
                <c:pt idx="4">
                  <c:v>Paula Natalia Alvarez</c:v>
                </c:pt>
                <c:pt idx="5">
                  <c:v>Leticia Aguilar Reyes</c:v>
                </c:pt>
                <c:pt idx="6">
                  <c:v>Didier Colunga</c:v>
                </c:pt>
                <c:pt idx="7">
                  <c:v>Daniel Castellanos Cruz</c:v>
                </c:pt>
                <c:pt idx="8">
                  <c:v>Ingrid Mariel Trinidad Hernandez</c:v>
                </c:pt>
                <c:pt idx="9">
                  <c:v>Jose Giovanni Loeza</c:v>
                </c:pt>
                <c:pt idx="10">
                  <c:v>Natalia Gonzalez Juárez</c:v>
                </c:pt>
                <c:pt idx="11">
                  <c:v>Rafael Espinoza Bravo</c:v>
                </c:pt>
                <c:pt idx="12">
                  <c:v>Eduardo Francisco Botello</c:v>
                </c:pt>
                <c:pt idx="13">
                  <c:v>Regina M. Gallardo Campero</c:v>
                </c:pt>
                <c:pt idx="14">
                  <c:v>Brenda Abigail Hernandez J.</c:v>
                </c:pt>
                <c:pt idx="15">
                  <c:v>Jessica Rodríguez Rangel</c:v>
                </c:pt>
                <c:pt idx="16">
                  <c:v>Mariela Iveth López Cárdenas</c:v>
                </c:pt>
                <c:pt idx="17">
                  <c:v>Miguel Angel Alvarado G.</c:v>
                </c:pt>
                <c:pt idx="18">
                  <c:v>Daniela Gomez Vilchis</c:v>
                </c:pt>
                <c:pt idx="19">
                  <c:v>Antonio Reyna Lopez</c:v>
                </c:pt>
                <c:pt idx="20">
                  <c:v>Fernando Alvarez López</c:v>
                </c:pt>
                <c:pt idx="21">
                  <c:v>Guillermo Gonzalez Cravioto</c:v>
                </c:pt>
                <c:pt idx="22">
                  <c:v>Carlos Mauricio Gutierrez</c:v>
                </c:pt>
                <c:pt idx="23">
                  <c:v>Yara Valeria Barrera Gandarias</c:v>
                </c:pt>
                <c:pt idx="24">
                  <c:v>Aaron Mauricio Sanchez Castañeda</c:v>
                </c:pt>
                <c:pt idx="25">
                  <c:v>Alejandra Hernandez Orozco</c:v>
                </c:pt>
                <c:pt idx="26">
                  <c:v>Isis Anaid Loyola Vega</c:v>
                </c:pt>
                <c:pt idx="27">
                  <c:v>Jose Miguel García Maravilla</c:v>
                </c:pt>
                <c:pt idx="28">
                  <c:v>Lizbeth García Alejandre</c:v>
                </c:pt>
                <c:pt idx="29">
                  <c:v>Pablo Martinez Gil</c:v>
                </c:pt>
                <c:pt idx="30">
                  <c:v>Roxana Ramírez Hernández</c:v>
                </c:pt>
                <c:pt idx="31">
                  <c:v>Sujey Gonzalez </c:v>
                </c:pt>
              </c:strCache>
            </c:strRef>
          </c:cat>
          <c:val>
            <c:numRef>
              <c:f>ESTADISTICAS!$X$7:$X$38</c:f>
              <c:numCache>
                <c:formatCode>General</c:formatCode>
                <c:ptCount val="32"/>
                <c:pt idx="0">
                  <c:v>86</c:v>
                </c:pt>
                <c:pt idx="1">
                  <c:v>39</c:v>
                </c:pt>
                <c:pt idx="2">
                  <c:v>78</c:v>
                </c:pt>
                <c:pt idx="3">
                  <c:v>25</c:v>
                </c:pt>
                <c:pt idx="4">
                  <c:v>24</c:v>
                </c:pt>
                <c:pt idx="5">
                  <c:v>41</c:v>
                </c:pt>
                <c:pt idx="6">
                  <c:v>21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  <c:pt idx="10">
                  <c:v>13</c:v>
                </c:pt>
                <c:pt idx="11">
                  <c:v>11</c:v>
                </c:pt>
                <c:pt idx="12">
                  <c:v>82</c:v>
                </c:pt>
                <c:pt idx="13">
                  <c:v>9</c:v>
                </c:pt>
                <c:pt idx="14">
                  <c:v>8</c:v>
                </c:pt>
                <c:pt idx="15">
                  <c:v>12</c:v>
                </c:pt>
                <c:pt idx="16">
                  <c:v>9</c:v>
                </c:pt>
                <c:pt idx="17">
                  <c:v>6</c:v>
                </c:pt>
                <c:pt idx="18">
                  <c:v>12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3</c:v>
                </c:pt>
                <c:pt idx="23">
                  <c:v>2</c:v>
                </c:pt>
                <c:pt idx="24">
                  <c:v>70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6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9-42CE-87A5-B1758E45B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6114344"/>
        <c:axId val="256111992"/>
        <c:axId val="0"/>
      </c:bar3DChart>
      <c:catAx>
        <c:axId val="256114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11992"/>
        <c:crosses val="autoZero"/>
        <c:auto val="1"/>
        <c:lblAlgn val="ctr"/>
        <c:lblOffset val="100"/>
        <c:noMultiLvlLbl val="0"/>
      </c:catAx>
      <c:valAx>
        <c:axId val="25611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14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190499</xdr:rowOff>
    </xdr:from>
    <xdr:to>
      <xdr:col>18</xdr:col>
      <xdr:colOff>733424</xdr:colOff>
      <xdr:row>42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0</xdr:col>
      <xdr:colOff>1247776</xdr:colOff>
      <xdr:row>1</xdr:row>
      <xdr:rowOff>195207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5878C1-F35E-486D-B465-597D798D3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28576" y="0"/>
          <a:ext cx="1219200" cy="6714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0</xdr:col>
      <xdr:colOff>1247776</xdr:colOff>
      <xdr:row>1</xdr:row>
      <xdr:rowOff>195207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5878C1-F35E-486D-B465-597D798D3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28576" y="0"/>
          <a:ext cx="1219200" cy="6714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47625</xdr:rowOff>
    </xdr:from>
    <xdr:to>
      <xdr:col>1</xdr:col>
      <xdr:colOff>469952</xdr:colOff>
      <xdr:row>4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9525" y="47625"/>
          <a:ext cx="1470077" cy="809624"/>
        </a:xfrm>
        <a:prstGeom prst="rect">
          <a:avLst/>
        </a:prstGeom>
      </xdr:spPr>
    </xdr:pic>
    <xdr:clientData/>
  </xdr:twoCellAnchor>
  <xdr:oneCellAnchor>
    <xdr:from>
      <xdr:col>0</xdr:col>
      <xdr:colOff>9525</xdr:colOff>
      <xdr:row>24</xdr:row>
      <xdr:rowOff>47625</xdr:rowOff>
    </xdr:from>
    <xdr:ext cx="1470077" cy="809624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9525" y="47625"/>
          <a:ext cx="1470077" cy="80962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0</xdr:col>
      <xdr:colOff>1247776</xdr:colOff>
      <xdr:row>1</xdr:row>
      <xdr:rowOff>195207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5878C1-F35E-486D-B465-597D798D3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28576" y="0"/>
          <a:ext cx="1219200" cy="6676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0</xdr:col>
      <xdr:colOff>1247776</xdr:colOff>
      <xdr:row>1</xdr:row>
      <xdr:rowOff>195207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5878C1-F35E-486D-B465-597D798D3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28576" y="0"/>
          <a:ext cx="1219200" cy="6714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0</xdr:col>
      <xdr:colOff>1247776</xdr:colOff>
      <xdr:row>1</xdr:row>
      <xdr:rowOff>195207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5878C1-F35E-486D-B465-597D798D3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28576" y="0"/>
          <a:ext cx="1219200" cy="6714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0</xdr:col>
      <xdr:colOff>1247776</xdr:colOff>
      <xdr:row>1</xdr:row>
      <xdr:rowOff>195207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5878C1-F35E-486D-B465-597D798D3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28576" y="0"/>
          <a:ext cx="1219200" cy="6714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0</xdr:col>
      <xdr:colOff>1247776</xdr:colOff>
      <xdr:row>1</xdr:row>
      <xdr:rowOff>195207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5878C1-F35E-486D-B465-597D798D3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28576" y="0"/>
          <a:ext cx="1219200" cy="6676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0</xdr:col>
      <xdr:colOff>1247776</xdr:colOff>
      <xdr:row>1</xdr:row>
      <xdr:rowOff>195207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5878C1-F35E-486D-B465-597D798D3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28576" y="0"/>
          <a:ext cx="1219200" cy="67145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0</xdr:col>
      <xdr:colOff>1247776</xdr:colOff>
      <xdr:row>1</xdr:row>
      <xdr:rowOff>195207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5878C1-F35E-486D-B465-597D798D3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28576" y="0"/>
          <a:ext cx="1219200" cy="6714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0</xdr:col>
      <xdr:colOff>1247776</xdr:colOff>
      <xdr:row>1</xdr:row>
      <xdr:rowOff>195207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5878C1-F35E-486D-B465-597D798D3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09" r="8742"/>
        <a:stretch/>
      </xdr:blipFill>
      <xdr:spPr>
        <a:xfrm>
          <a:off x="28576" y="0"/>
          <a:ext cx="1219200" cy="667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"/>
  <sheetViews>
    <sheetView workbookViewId="0"/>
  </sheetViews>
  <sheetFormatPr baseColWidth="10" defaultRowHeight="15" x14ac:dyDescent="0.25"/>
  <sheetData/>
  <printOptions horizontalCentered="1" verticalCentered="1"/>
  <pageMargins left="0.39370078740157483" right="0.35433070866141736" top="1.1417322834645669" bottom="0.51181102362204722" header="0.31496062992125984" footer="0.31496062992125984"/>
  <pageSetup scale="60" orientation="landscape" r:id="rId1"/>
  <headerFooter>
    <oddHeader>&amp;C&amp;22CANTIDAD DE SALIDAS DE LOS BIOMETRICOS EN EL 2023 FUERON 404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9"/>
  </sheetPr>
  <dimension ref="A3:X1374"/>
  <sheetViews>
    <sheetView workbookViewId="0">
      <pane xSplit="1" ySplit="5" topLeftCell="B1354" activePane="bottomRight" state="frozen"/>
      <selection pane="topRight" activeCell="B1" sqref="B1"/>
      <selection pane="bottomLeft" activeCell="A6" sqref="A6"/>
      <selection pane="bottomRight" activeCell="A1370" sqref="A1370:XFD1370"/>
    </sheetView>
  </sheetViews>
  <sheetFormatPr baseColWidth="10" defaultRowHeight="15" x14ac:dyDescent="0.25"/>
  <cols>
    <col min="1" max="1" width="37.7109375" customWidth="1"/>
    <col min="2" max="2" width="11.5703125" style="62"/>
    <col min="3" max="3" width="15.5703125" style="62" customWidth="1"/>
    <col min="9" max="9" width="16.140625" customWidth="1"/>
    <col min="15" max="15" width="12.7109375" bestFit="1" customWidth="1"/>
    <col min="23" max="23" width="28.5703125" customWidth="1"/>
    <col min="24" max="24" width="5.42578125" customWidth="1"/>
  </cols>
  <sheetData>
    <row r="3" spans="1:24" ht="15.75" thickBot="1" x14ac:dyDescent="0.3">
      <c r="B3" s="126">
        <f>COUNT(B6:B2558)</f>
        <v>172</v>
      </c>
      <c r="C3" s="126"/>
      <c r="D3" s="56">
        <f>COUNT(D6:D2558)</f>
        <v>166</v>
      </c>
      <c r="E3" s="1"/>
      <c r="F3" s="56">
        <f>COUNT(F6:F2558)</f>
        <v>180</v>
      </c>
      <c r="G3" s="1"/>
      <c r="H3" s="56">
        <f>COUNT(H6:H2558)</f>
        <v>187</v>
      </c>
      <c r="I3" s="1"/>
      <c r="J3" s="56">
        <f>COUNT(J6:J2558)</f>
        <v>180</v>
      </c>
      <c r="K3" s="1"/>
      <c r="L3" s="56">
        <f>COUNT(L6:L2558)</f>
        <v>150</v>
      </c>
      <c r="M3" s="1"/>
      <c r="N3" s="56">
        <f>COUNT(N6:N2558)</f>
        <v>161</v>
      </c>
      <c r="O3" s="1"/>
      <c r="P3" s="56">
        <f>COUNT(P6:P2558)</f>
        <v>122</v>
      </c>
      <c r="R3" s="56">
        <f>COUNT(R6:R2558)</f>
        <v>15</v>
      </c>
      <c r="T3">
        <f>SUM(B3:S3)</f>
        <v>1333</v>
      </c>
      <c r="X3">
        <f>SUM(F3:W3)</f>
        <v>2328</v>
      </c>
    </row>
    <row r="4" spans="1:24" ht="15.75" thickTop="1" x14ac:dyDescent="0.25">
      <c r="A4" s="122" t="s">
        <v>74</v>
      </c>
      <c r="B4" s="127" t="s">
        <v>77</v>
      </c>
      <c r="C4" s="127"/>
      <c r="D4" s="114" t="s">
        <v>78</v>
      </c>
      <c r="E4" s="114"/>
      <c r="F4" s="114" t="s">
        <v>66</v>
      </c>
      <c r="G4" s="114"/>
      <c r="H4" s="114" t="s">
        <v>79</v>
      </c>
      <c r="I4" s="114"/>
      <c r="J4" s="114" t="s">
        <v>73</v>
      </c>
      <c r="K4" s="114"/>
      <c r="L4" s="114" t="s">
        <v>80</v>
      </c>
      <c r="M4" s="114"/>
      <c r="N4" s="114" t="s">
        <v>81</v>
      </c>
      <c r="O4" s="114"/>
      <c r="P4" s="114" t="s">
        <v>82</v>
      </c>
      <c r="Q4" s="114"/>
      <c r="R4" s="114" t="s">
        <v>87</v>
      </c>
      <c r="S4" s="115"/>
    </row>
    <row r="5" spans="1:24" ht="15.75" thickBot="1" x14ac:dyDescent="0.3">
      <c r="A5" s="123"/>
      <c r="B5" s="61" t="s">
        <v>76</v>
      </c>
      <c r="C5" s="61" t="s">
        <v>75</v>
      </c>
      <c r="D5" s="59" t="s">
        <v>76</v>
      </c>
      <c r="E5" s="59" t="s">
        <v>75</v>
      </c>
      <c r="F5" s="59" t="s">
        <v>76</v>
      </c>
      <c r="G5" s="59" t="s">
        <v>75</v>
      </c>
      <c r="H5" s="59" t="s">
        <v>76</v>
      </c>
      <c r="I5" s="59" t="s">
        <v>75</v>
      </c>
      <c r="J5" s="59" t="s">
        <v>76</v>
      </c>
      <c r="K5" s="59" t="s">
        <v>75</v>
      </c>
      <c r="L5" s="59" t="s">
        <v>76</v>
      </c>
      <c r="M5" s="59" t="s">
        <v>75</v>
      </c>
      <c r="N5" s="59" t="s">
        <v>76</v>
      </c>
      <c r="O5" s="59" t="s">
        <v>75</v>
      </c>
      <c r="P5" s="59" t="s">
        <v>76</v>
      </c>
      <c r="Q5" s="59" t="s">
        <v>75</v>
      </c>
      <c r="R5" s="59" t="s">
        <v>76</v>
      </c>
      <c r="S5" s="60" t="s">
        <v>75</v>
      </c>
    </row>
    <row r="6" spans="1:24" ht="15.75" thickTop="1" x14ac:dyDescent="0.25">
      <c r="A6" t="s">
        <v>83</v>
      </c>
      <c r="D6" s="58">
        <v>44936</v>
      </c>
      <c r="W6" t="s">
        <v>83</v>
      </c>
      <c r="X6" s="57">
        <f t="shared" ref="X6:X37" si="0">COUNTIF(A:A,W6)</f>
        <v>74</v>
      </c>
    </row>
    <row r="7" spans="1:24" x14ac:dyDescent="0.25">
      <c r="A7" t="s">
        <v>83</v>
      </c>
      <c r="D7" s="58">
        <v>44943</v>
      </c>
      <c r="W7" t="s">
        <v>90</v>
      </c>
      <c r="X7" s="57">
        <f t="shared" si="0"/>
        <v>86</v>
      </c>
    </row>
    <row r="8" spans="1:24" x14ac:dyDescent="0.25">
      <c r="A8" t="s">
        <v>92</v>
      </c>
      <c r="D8" s="58">
        <v>44946</v>
      </c>
      <c r="W8" t="s">
        <v>96</v>
      </c>
      <c r="X8" s="57">
        <f t="shared" si="0"/>
        <v>39</v>
      </c>
    </row>
    <row r="9" spans="1:24" x14ac:dyDescent="0.25">
      <c r="A9" t="s">
        <v>84</v>
      </c>
      <c r="B9" s="62">
        <v>44946</v>
      </c>
      <c r="W9" t="s">
        <v>171</v>
      </c>
      <c r="X9" s="57">
        <f t="shared" si="0"/>
        <v>78</v>
      </c>
    </row>
    <row r="10" spans="1:24" x14ac:dyDescent="0.25">
      <c r="A10" t="s">
        <v>85</v>
      </c>
      <c r="F10" s="58">
        <v>44946</v>
      </c>
      <c r="W10" t="s">
        <v>91</v>
      </c>
      <c r="X10" s="57">
        <f t="shared" si="0"/>
        <v>25</v>
      </c>
    </row>
    <row r="11" spans="1:24" x14ac:dyDescent="0.25">
      <c r="A11" t="s">
        <v>85</v>
      </c>
      <c r="F11" s="58">
        <v>44946</v>
      </c>
      <c r="W11" t="s">
        <v>129</v>
      </c>
      <c r="X11" s="57">
        <f t="shared" si="0"/>
        <v>24</v>
      </c>
    </row>
    <row r="12" spans="1:24" x14ac:dyDescent="0.25">
      <c r="A12" t="s">
        <v>86</v>
      </c>
      <c r="D12" s="58">
        <v>44952</v>
      </c>
      <c r="W12" t="s">
        <v>178</v>
      </c>
      <c r="X12" s="57">
        <f t="shared" si="0"/>
        <v>41</v>
      </c>
    </row>
    <row r="13" spans="1:24" x14ac:dyDescent="0.25">
      <c r="A13" t="s">
        <v>88</v>
      </c>
      <c r="R13" s="58">
        <v>44952</v>
      </c>
      <c r="T13" t="s">
        <v>89</v>
      </c>
      <c r="W13" t="s">
        <v>123</v>
      </c>
      <c r="X13" s="57">
        <f t="shared" si="0"/>
        <v>21</v>
      </c>
    </row>
    <row r="14" spans="1:24" x14ac:dyDescent="0.25">
      <c r="A14" t="s">
        <v>84</v>
      </c>
      <c r="D14" s="58">
        <v>44953</v>
      </c>
      <c r="W14" t="s">
        <v>92</v>
      </c>
      <c r="X14" s="57">
        <f t="shared" si="0"/>
        <v>15</v>
      </c>
    </row>
    <row r="15" spans="1:24" x14ac:dyDescent="0.25">
      <c r="A15" t="s">
        <v>90</v>
      </c>
      <c r="D15" s="58">
        <v>44956</v>
      </c>
      <c r="W15" t="s">
        <v>175</v>
      </c>
      <c r="X15" s="57">
        <f t="shared" si="0"/>
        <v>14</v>
      </c>
    </row>
    <row r="16" spans="1:24" x14ac:dyDescent="0.25">
      <c r="A16" t="s">
        <v>91</v>
      </c>
      <c r="D16" s="58">
        <v>44957</v>
      </c>
      <c r="W16" t="s">
        <v>86</v>
      </c>
      <c r="X16" s="57">
        <f t="shared" si="0"/>
        <v>14</v>
      </c>
    </row>
    <row r="17" spans="1:24" x14ac:dyDescent="0.25">
      <c r="A17" t="s">
        <v>192</v>
      </c>
      <c r="B17" s="62">
        <v>44957</v>
      </c>
      <c r="W17" t="s">
        <v>98</v>
      </c>
      <c r="X17" s="57">
        <f t="shared" si="0"/>
        <v>13</v>
      </c>
    </row>
    <row r="18" spans="1:24" x14ac:dyDescent="0.25">
      <c r="A18" t="s">
        <v>90</v>
      </c>
      <c r="F18" s="58">
        <v>44957</v>
      </c>
      <c r="W18" t="s">
        <v>84</v>
      </c>
      <c r="X18" s="57">
        <f t="shared" si="0"/>
        <v>11</v>
      </c>
    </row>
    <row r="19" spans="1:24" x14ac:dyDescent="0.25">
      <c r="A19" t="s">
        <v>86</v>
      </c>
      <c r="F19" s="58">
        <v>44957</v>
      </c>
      <c r="W19" t="s">
        <v>193</v>
      </c>
      <c r="X19" s="57">
        <f t="shared" si="0"/>
        <v>82</v>
      </c>
    </row>
    <row r="20" spans="1:24" x14ac:dyDescent="0.25">
      <c r="A20" t="s">
        <v>91</v>
      </c>
      <c r="D20" s="58">
        <v>44959</v>
      </c>
      <c r="W20" t="s">
        <v>170</v>
      </c>
      <c r="X20" s="57">
        <f t="shared" si="0"/>
        <v>9</v>
      </c>
    </row>
    <row r="21" spans="1:24" x14ac:dyDescent="0.25">
      <c r="A21" t="s">
        <v>92</v>
      </c>
      <c r="D21" s="58">
        <v>44960</v>
      </c>
      <c r="W21" t="s">
        <v>169</v>
      </c>
      <c r="X21" s="57">
        <f t="shared" si="0"/>
        <v>8</v>
      </c>
    </row>
    <row r="22" spans="1:24" x14ac:dyDescent="0.25">
      <c r="A22" t="s">
        <v>92</v>
      </c>
      <c r="D22" s="58">
        <v>44964</v>
      </c>
      <c r="W22" t="s">
        <v>192</v>
      </c>
      <c r="X22" s="57">
        <f t="shared" si="0"/>
        <v>12</v>
      </c>
    </row>
    <row r="23" spans="1:24" x14ac:dyDescent="0.25">
      <c r="A23" t="s">
        <v>91</v>
      </c>
      <c r="B23" s="62">
        <v>44933</v>
      </c>
      <c r="W23" t="s">
        <v>190</v>
      </c>
      <c r="X23" s="57">
        <f t="shared" si="0"/>
        <v>9</v>
      </c>
    </row>
    <row r="24" spans="1:24" x14ac:dyDescent="0.25">
      <c r="A24" t="s">
        <v>83</v>
      </c>
      <c r="F24" s="58">
        <v>44964</v>
      </c>
      <c r="W24" t="s">
        <v>97</v>
      </c>
      <c r="X24" s="57">
        <f t="shared" si="0"/>
        <v>6</v>
      </c>
    </row>
    <row r="25" spans="1:24" x14ac:dyDescent="0.25">
      <c r="A25" t="s">
        <v>90</v>
      </c>
      <c r="F25" s="58">
        <v>44965</v>
      </c>
      <c r="W25" t="s">
        <v>93</v>
      </c>
      <c r="X25" s="57">
        <f t="shared" si="0"/>
        <v>12</v>
      </c>
    </row>
    <row r="26" spans="1:24" x14ac:dyDescent="0.25">
      <c r="A26" t="s">
        <v>93</v>
      </c>
      <c r="F26" s="58">
        <v>44965</v>
      </c>
      <c r="W26" t="s">
        <v>130</v>
      </c>
      <c r="X26" s="57">
        <f t="shared" si="0"/>
        <v>4</v>
      </c>
    </row>
    <row r="27" spans="1:24" x14ac:dyDescent="0.25">
      <c r="A27" t="s">
        <v>90</v>
      </c>
      <c r="F27" s="58">
        <v>44966</v>
      </c>
      <c r="W27" t="s">
        <v>95</v>
      </c>
      <c r="X27" s="57">
        <f t="shared" si="0"/>
        <v>4</v>
      </c>
    </row>
    <row r="28" spans="1:24" x14ac:dyDescent="0.25">
      <c r="A28" t="s">
        <v>91</v>
      </c>
      <c r="B28" s="62">
        <v>44966</v>
      </c>
      <c r="W28" t="s">
        <v>191</v>
      </c>
      <c r="X28" s="57">
        <f t="shared" si="0"/>
        <v>5</v>
      </c>
    </row>
    <row r="29" spans="1:24" x14ac:dyDescent="0.25">
      <c r="A29" t="s">
        <v>91</v>
      </c>
      <c r="H29" s="58">
        <v>44967</v>
      </c>
      <c r="W29" t="s">
        <v>85</v>
      </c>
      <c r="X29" s="57">
        <f t="shared" si="0"/>
        <v>3</v>
      </c>
    </row>
    <row r="30" spans="1:24" x14ac:dyDescent="0.25">
      <c r="A30" t="s">
        <v>90</v>
      </c>
      <c r="F30" s="58">
        <v>44967</v>
      </c>
      <c r="W30" t="s">
        <v>114</v>
      </c>
      <c r="X30" s="57">
        <f t="shared" si="0"/>
        <v>2</v>
      </c>
    </row>
    <row r="31" spans="1:24" x14ac:dyDescent="0.25">
      <c r="A31" t="s">
        <v>86</v>
      </c>
      <c r="H31" s="58">
        <v>44970</v>
      </c>
      <c r="W31" t="s">
        <v>203</v>
      </c>
      <c r="X31" s="57">
        <f t="shared" si="0"/>
        <v>70</v>
      </c>
    </row>
    <row r="32" spans="1:24" x14ac:dyDescent="0.25">
      <c r="A32" t="s">
        <v>84</v>
      </c>
      <c r="F32" s="58">
        <v>44972</v>
      </c>
      <c r="W32" t="s">
        <v>174</v>
      </c>
      <c r="X32" s="57">
        <f t="shared" si="0"/>
        <v>2</v>
      </c>
    </row>
    <row r="33" spans="1:24" x14ac:dyDescent="0.25">
      <c r="A33" t="s">
        <v>83</v>
      </c>
      <c r="H33" s="58">
        <v>44972</v>
      </c>
      <c r="W33" t="s">
        <v>120</v>
      </c>
      <c r="X33" s="57">
        <f t="shared" si="0"/>
        <v>1</v>
      </c>
    </row>
    <row r="34" spans="1:24" x14ac:dyDescent="0.25">
      <c r="A34" t="s">
        <v>94</v>
      </c>
      <c r="H34" s="58">
        <v>44974</v>
      </c>
      <c r="W34" t="s">
        <v>122</v>
      </c>
      <c r="X34" s="57">
        <f t="shared" si="0"/>
        <v>1</v>
      </c>
    </row>
    <row r="35" spans="1:24" x14ac:dyDescent="0.25">
      <c r="A35" t="s">
        <v>91</v>
      </c>
      <c r="H35" s="58">
        <v>44978</v>
      </c>
      <c r="W35" t="s">
        <v>128</v>
      </c>
      <c r="X35" s="57">
        <f t="shared" si="0"/>
        <v>6</v>
      </c>
    </row>
    <row r="36" spans="1:24" x14ac:dyDescent="0.25">
      <c r="A36" t="s">
        <v>91</v>
      </c>
      <c r="H36" s="58">
        <v>45039</v>
      </c>
      <c r="W36" t="s">
        <v>200</v>
      </c>
      <c r="X36" s="57">
        <f t="shared" si="0"/>
        <v>1</v>
      </c>
    </row>
    <row r="37" spans="1:24" x14ac:dyDescent="0.25">
      <c r="A37" t="s">
        <v>84</v>
      </c>
      <c r="H37" s="58">
        <v>44981</v>
      </c>
      <c r="W37" t="s">
        <v>94</v>
      </c>
      <c r="X37" s="57">
        <f t="shared" si="0"/>
        <v>1</v>
      </c>
    </row>
    <row r="38" spans="1:24" x14ac:dyDescent="0.25">
      <c r="A38" t="s">
        <v>192</v>
      </c>
      <c r="F38" s="58">
        <v>44981</v>
      </c>
      <c r="W38" t="s">
        <v>88</v>
      </c>
      <c r="X38" s="57">
        <f t="shared" ref="X38:X55" si="1">COUNTIF(A:A,W38)</f>
        <v>1</v>
      </c>
    </row>
    <row r="39" spans="1:24" x14ac:dyDescent="0.25">
      <c r="A39" t="s">
        <v>91</v>
      </c>
      <c r="J39" s="58">
        <v>44981</v>
      </c>
      <c r="W39" t="s">
        <v>211</v>
      </c>
      <c r="X39" s="57">
        <f t="shared" si="1"/>
        <v>10</v>
      </c>
    </row>
    <row r="40" spans="1:24" x14ac:dyDescent="0.25">
      <c r="A40" t="s">
        <v>83</v>
      </c>
      <c r="J40" s="58">
        <v>44984</v>
      </c>
      <c r="W40" t="s">
        <v>201</v>
      </c>
      <c r="X40" s="57">
        <f t="shared" si="1"/>
        <v>16</v>
      </c>
    </row>
    <row r="41" spans="1:24" x14ac:dyDescent="0.25">
      <c r="A41" t="s">
        <v>91</v>
      </c>
      <c r="F41" s="58">
        <v>44985</v>
      </c>
      <c r="W41" t="s">
        <v>216</v>
      </c>
      <c r="X41" s="57">
        <f t="shared" si="1"/>
        <v>13</v>
      </c>
    </row>
    <row r="42" spans="1:24" x14ac:dyDescent="0.25">
      <c r="A42" t="s">
        <v>83</v>
      </c>
      <c r="H42" s="58">
        <v>44985</v>
      </c>
      <c r="W42" t="s">
        <v>218</v>
      </c>
      <c r="X42" s="57">
        <f t="shared" si="1"/>
        <v>11</v>
      </c>
    </row>
    <row r="43" spans="1:24" x14ac:dyDescent="0.25">
      <c r="A43" t="s">
        <v>83</v>
      </c>
      <c r="J43" s="58">
        <v>44985</v>
      </c>
      <c r="W43" t="s">
        <v>217</v>
      </c>
      <c r="X43" s="57">
        <f t="shared" si="1"/>
        <v>5</v>
      </c>
    </row>
    <row r="44" spans="1:24" x14ac:dyDescent="0.25">
      <c r="A44" t="s">
        <v>95</v>
      </c>
      <c r="J44" s="58">
        <v>44986</v>
      </c>
      <c r="W44" t="s">
        <v>221</v>
      </c>
      <c r="X44" s="57">
        <f t="shared" si="1"/>
        <v>26</v>
      </c>
    </row>
    <row r="45" spans="1:24" x14ac:dyDescent="0.25">
      <c r="A45" t="s">
        <v>92</v>
      </c>
      <c r="J45" s="58">
        <v>44988</v>
      </c>
      <c r="W45" t="s">
        <v>199</v>
      </c>
      <c r="X45" s="57">
        <f t="shared" si="1"/>
        <v>31</v>
      </c>
    </row>
    <row r="46" spans="1:24" x14ac:dyDescent="0.25">
      <c r="A46" t="s">
        <v>171</v>
      </c>
      <c r="H46" s="58">
        <v>44263</v>
      </c>
      <c r="W46" t="s">
        <v>231</v>
      </c>
      <c r="X46" s="57">
        <f t="shared" si="1"/>
        <v>35</v>
      </c>
    </row>
    <row r="47" spans="1:24" x14ac:dyDescent="0.25">
      <c r="A47" t="s">
        <v>96</v>
      </c>
      <c r="J47" s="58">
        <v>44263</v>
      </c>
      <c r="W47" t="s">
        <v>230</v>
      </c>
      <c r="X47" s="57">
        <f t="shared" si="1"/>
        <v>12</v>
      </c>
    </row>
    <row r="48" spans="1:24" x14ac:dyDescent="0.25">
      <c r="A48" t="s">
        <v>91</v>
      </c>
      <c r="H48" s="58">
        <v>44994</v>
      </c>
      <c r="W48" t="s">
        <v>236</v>
      </c>
      <c r="X48" s="57">
        <f t="shared" si="1"/>
        <v>79</v>
      </c>
    </row>
    <row r="49" spans="1:24" x14ac:dyDescent="0.25">
      <c r="A49" t="s">
        <v>91</v>
      </c>
      <c r="D49" s="58">
        <v>44995</v>
      </c>
      <c r="W49" t="s">
        <v>220</v>
      </c>
      <c r="X49" s="57">
        <f t="shared" si="1"/>
        <v>7</v>
      </c>
    </row>
    <row r="50" spans="1:24" x14ac:dyDescent="0.25">
      <c r="A50" t="s">
        <v>84</v>
      </c>
      <c r="D50" s="58">
        <v>44998</v>
      </c>
      <c r="W50" t="s">
        <v>301</v>
      </c>
      <c r="X50" s="57">
        <f t="shared" si="1"/>
        <v>16</v>
      </c>
    </row>
    <row r="51" spans="1:24" x14ac:dyDescent="0.25">
      <c r="A51" t="s">
        <v>93</v>
      </c>
      <c r="H51" s="58">
        <v>44999</v>
      </c>
      <c r="W51" t="s">
        <v>206</v>
      </c>
      <c r="X51" s="57">
        <f t="shared" si="1"/>
        <v>33</v>
      </c>
    </row>
    <row r="52" spans="1:24" x14ac:dyDescent="0.25">
      <c r="A52" t="s">
        <v>86</v>
      </c>
      <c r="H52" s="58">
        <v>44999</v>
      </c>
      <c r="W52" t="s">
        <v>265</v>
      </c>
      <c r="X52" s="57">
        <f t="shared" si="1"/>
        <v>24</v>
      </c>
    </row>
    <row r="53" spans="1:24" x14ac:dyDescent="0.25">
      <c r="A53" t="s">
        <v>93</v>
      </c>
      <c r="H53" s="58">
        <v>45031</v>
      </c>
      <c r="W53" t="s">
        <v>285</v>
      </c>
      <c r="X53" s="57">
        <f t="shared" si="1"/>
        <v>16</v>
      </c>
    </row>
    <row r="54" spans="1:24" x14ac:dyDescent="0.25">
      <c r="A54" t="s">
        <v>96</v>
      </c>
      <c r="H54" s="58">
        <v>45001</v>
      </c>
      <c r="W54" t="s">
        <v>269</v>
      </c>
      <c r="X54" s="57">
        <f t="shared" si="1"/>
        <v>42</v>
      </c>
    </row>
    <row r="55" spans="1:24" x14ac:dyDescent="0.25">
      <c r="A55" t="s">
        <v>96</v>
      </c>
      <c r="J55" s="58">
        <v>45002</v>
      </c>
      <c r="W55" t="s">
        <v>290</v>
      </c>
      <c r="X55" s="57">
        <f t="shared" si="1"/>
        <v>1</v>
      </c>
    </row>
    <row r="56" spans="1:24" x14ac:dyDescent="0.25">
      <c r="A56" t="s">
        <v>83</v>
      </c>
      <c r="F56" s="58">
        <v>45006</v>
      </c>
    </row>
    <row r="57" spans="1:24" x14ac:dyDescent="0.25">
      <c r="A57" t="s">
        <v>96</v>
      </c>
      <c r="H57" s="58">
        <v>45008</v>
      </c>
    </row>
    <row r="58" spans="1:24" x14ac:dyDescent="0.25">
      <c r="A58" t="s">
        <v>91</v>
      </c>
      <c r="D58" s="58">
        <v>45008</v>
      </c>
    </row>
    <row r="59" spans="1:24" x14ac:dyDescent="0.25">
      <c r="A59" t="s">
        <v>90</v>
      </c>
      <c r="J59" s="58">
        <v>45008</v>
      </c>
    </row>
    <row r="60" spans="1:24" x14ac:dyDescent="0.25">
      <c r="A60" t="s">
        <v>97</v>
      </c>
      <c r="D60" s="58">
        <v>45009</v>
      </c>
    </row>
    <row r="61" spans="1:24" x14ac:dyDescent="0.25">
      <c r="A61" t="s">
        <v>92</v>
      </c>
      <c r="J61" s="58">
        <v>45009</v>
      </c>
      <c r="K61" s="58">
        <v>45012</v>
      </c>
    </row>
    <row r="62" spans="1:24" x14ac:dyDescent="0.25">
      <c r="A62" t="s">
        <v>83</v>
      </c>
      <c r="B62" s="62">
        <v>45009</v>
      </c>
      <c r="C62" s="62">
        <v>45012</v>
      </c>
    </row>
    <row r="63" spans="1:24" x14ac:dyDescent="0.25">
      <c r="A63" t="s">
        <v>96</v>
      </c>
      <c r="J63" s="58">
        <v>45012</v>
      </c>
    </row>
    <row r="64" spans="1:24" x14ac:dyDescent="0.25">
      <c r="A64" t="s">
        <v>86</v>
      </c>
      <c r="B64" s="62">
        <v>45012</v>
      </c>
    </row>
    <row r="65" spans="1:16" x14ac:dyDescent="0.25">
      <c r="A65" t="s">
        <v>83</v>
      </c>
      <c r="J65" s="58">
        <v>45013</v>
      </c>
    </row>
    <row r="66" spans="1:16" x14ac:dyDescent="0.25">
      <c r="A66" t="s">
        <v>86</v>
      </c>
      <c r="J66" s="58">
        <v>45013</v>
      </c>
    </row>
    <row r="67" spans="1:16" x14ac:dyDescent="0.25">
      <c r="A67" t="s">
        <v>84</v>
      </c>
      <c r="J67" s="58">
        <v>45014</v>
      </c>
    </row>
    <row r="68" spans="1:16" x14ac:dyDescent="0.25">
      <c r="A68" t="s">
        <v>91</v>
      </c>
      <c r="J68" s="58">
        <v>45015</v>
      </c>
    </row>
    <row r="69" spans="1:16" x14ac:dyDescent="0.25">
      <c r="A69" t="s">
        <v>86</v>
      </c>
      <c r="B69" s="62">
        <v>45015</v>
      </c>
    </row>
    <row r="70" spans="1:16" x14ac:dyDescent="0.25">
      <c r="A70" t="s">
        <v>83</v>
      </c>
      <c r="D70" s="58">
        <v>45015</v>
      </c>
    </row>
    <row r="71" spans="1:16" x14ac:dyDescent="0.25">
      <c r="A71" t="s">
        <v>91</v>
      </c>
      <c r="J71" s="58">
        <v>45015</v>
      </c>
    </row>
    <row r="72" spans="1:16" x14ac:dyDescent="0.25">
      <c r="A72" t="s">
        <v>96</v>
      </c>
      <c r="B72" s="58"/>
      <c r="H72" s="58">
        <v>45015</v>
      </c>
    </row>
    <row r="73" spans="1:16" x14ac:dyDescent="0.25">
      <c r="A73" t="s">
        <v>96</v>
      </c>
      <c r="B73" s="62">
        <v>45016</v>
      </c>
    </row>
    <row r="74" spans="1:16" x14ac:dyDescent="0.25">
      <c r="A74" t="s">
        <v>83</v>
      </c>
      <c r="D74" s="58">
        <v>45016</v>
      </c>
    </row>
    <row r="75" spans="1:16" x14ac:dyDescent="0.25">
      <c r="A75" t="s">
        <v>192</v>
      </c>
      <c r="B75" s="62">
        <v>45016</v>
      </c>
    </row>
    <row r="76" spans="1:16" x14ac:dyDescent="0.25">
      <c r="A76" t="s">
        <v>90</v>
      </c>
      <c r="F76" s="58">
        <v>45016</v>
      </c>
    </row>
    <row r="77" spans="1:16" x14ac:dyDescent="0.25">
      <c r="A77" t="s">
        <v>96</v>
      </c>
      <c r="H77" s="58">
        <v>45016</v>
      </c>
    </row>
    <row r="78" spans="1:16" x14ac:dyDescent="0.25">
      <c r="A78" t="s">
        <v>98</v>
      </c>
      <c r="L78" s="58">
        <v>45016</v>
      </c>
    </row>
    <row r="79" spans="1:16" x14ac:dyDescent="0.25">
      <c r="A79" t="s">
        <v>92</v>
      </c>
      <c r="J79" s="58">
        <v>45016</v>
      </c>
    </row>
    <row r="80" spans="1:16" x14ac:dyDescent="0.25">
      <c r="A80" t="s">
        <v>83</v>
      </c>
      <c r="P80" s="58">
        <v>45016</v>
      </c>
    </row>
    <row r="81" spans="1:15" x14ac:dyDescent="0.25">
      <c r="A81" t="s">
        <v>96</v>
      </c>
      <c r="N81" s="58">
        <v>45016</v>
      </c>
    </row>
    <row r="82" spans="1:15" x14ac:dyDescent="0.25">
      <c r="A82" t="s">
        <v>91</v>
      </c>
      <c r="D82" s="58">
        <v>45016</v>
      </c>
    </row>
    <row r="83" spans="1:15" x14ac:dyDescent="0.25">
      <c r="A83" t="s">
        <v>96</v>
      </c>
      <c r="B83" s="62">
        <v>45019</v>
      </c>
    </row>
    <row r="84" spans="1:15" x14ac:dyDescent="0.25">
      <c r="A84" t="s">
        <v>86</v>
      </c>
      <c r="J84" s="58">
        <v>45019</v>
      </c>
    </row>
    <row r="85" spans="1:15" x14ac:dyDescent="0.25">
      <c r="A85" t="s">
        <v>97</v>
      </c>
      <c r="B85" s="62">
        <v>45020</v>
      </c>
    </row>
    <row r="86" spans="1:15" x14ac:dyDescent="0.25">
      <c r="A86" t="s">
        <v>84</v>
      </c>
      <c r="N86" s="58">
        <v>45027</v>
      </c>
    </row>
    <row r="87" spans="1:15" x14ac:dyDescent="0.25">
      <c r="A87" t="s">
        <v>91</v>
      </c>
      <c r="L87" s="58">
        <v>45027</v>
      </c>
    </row>
    <row r="88" spans="1:15" x14ac:dyDescent="0.25">
      <c r="A88" t="s">
        <v>96</v>
      </c>
      <c r="N88" s="58">
        <v>44996</v>
      </c>
    </row>
    <row r="89" spans="1:15" x14ac:dyDescent="0.25">
      <c r="A89" t="s">
        <v>84</v>
      </c>
      <c r="N89" s="58">
        <v>45029</v>
      </c>
    </row>
    <row r="90" spans="1:15" x14ac:dyDescent="0.25">
      <c r="A90" t="s">
        <v>86</v>
      </c>
      <c r="L90" s="58">
        <v>45027</v>
      </c>
    </row>
    <row r="91" spans="1:15" x14ac:dyDescent="0.25">
      <c r="A91" t="s">
        <v>83</v>
      </c>
      <c r="L91" s="58">
        <v>45030</v>
      </c>
    </row>
    <row r="92" spans="1:15" x14ac:dyDescent="0.25">
      <c r="A92" t="s">
        <v>97</v>
      </c>
      <c r="N92" s="58">
        <v>45030</v>
      </c>
    </row>
    <row r="93" spans="1:15" x14ac:dyDescent="0.25">
      <c r="A93" t="s">
        <v>83</v>
      </c>
      <c r="J93" s="58">
        <v>45030</v>
      </c>
    </row>
    <row r="94" spans="1:15" x14ac:dyDescent="0.25">
      <c r="A94" t="s">
        <v>96</v>
      </c>
      <c r="L94" s="58">
        <v>45033</v>
      </c>
    </row>
    <row r="95" spans="1:15" x14ac:dyDescent="0.25">
      <c r="A95" t="s">
        <v>98</v>
      </c>
      <c r="N95" s="58">
        <v>45033</v>
      </c>
      <c r="O95" s="63" t="s">
        <v>99</v>
      </c>
    </row>
    <row r="96" spans="1:15" x14ac:dyDescent="0.25">
      <c r="A96" t="s">
        <v>91</v>
      </c>
      <c r="B96" s="62">
        <v>45033</v>
      </c>
    </row>
    <row r="97" spans="1:19" x14ac:dyDescent="0.25">
      <c r="A97" t="s">
        <v>98</v>
      </c>
      <c r="H97" s="58">
        <v>45035</v>
      </c>
    </row>
    <row r="98" spans="1:19" x14ac:dyDescent="0.25">
      <c r="A98" t="s">
        <v>83</v>
      </c>
      <c r="D98" s="58">
        <v>45035</v>
      </c>
    </row>
    <row r="99" spans="1:19" x14ac:dyDescent="0.25">
      <c r="A99" t="s">
        <v>97</v>
      </c>
      <c r="L99" s="58">
        <v>45035</v>
      </c>
      <c r="M99" s="65" t="s">
        <v>100</v>
      </c>
    </row>
    <row r="100" spans="1:19" x14ac:dyDescent="0.25">
      <c r="A100" t="s">
        <v>86</v>
      </c>
      <c r="H100" s="58">
        <v>45036</v>
      </c>
    </row>
    <row r="101" spans="1:19" x14ac:dyDescent="0.25">
      <c r="A101" t="s">
        <v>84</v>
      </c>
      <c r="H101" s="58">
        <v>45040</v>
      </c>
    </row>
    <row r="102" spans="1:19" x14ac:dyDescent="0.25">
      <c r="A102" t="s">
        <v>86</v>
      </c>
      <c r="L102" s="58">
        <v>45040</v>
      </c>
    </row>
    <row r="103" spans="1:19" x14ac:dyDescent="0.25">
      <c r="A103" t="s">
        <v>83</v>
      </c>
      <c r="H103" s="58">
        <v>45040</v>
      </c>
    </row>
    <row r="104" spans="1:19" x14ac:dyDescent="0.25">
      <c r="A104" t="s">
        <v>97</v>
      </c>
      <c r="B104" s="62">
        <v>45041</v>
      </c>
    </row>
    <row r="105" spans="1:19" x14ac:dyDescent="0.25">
      <c r="A105" t="s">
        <v>83</v>
      </c>
      <c r="L105" s="58">
        <v>45042</v>
      </c>
    </row>
    <row r="106" spans="1:19" x14ac:dyDescent="0.25">
      <c r="A106" t="s">
        <v>91</v>
      </c>
      <c r="F106" s="58">
        <v>45042</v>
      </c>
    </row>
    <row r="107" spans="1:19" x14ac:dyDescent="0.25">
      <c r="A107" t="s">
        <v>90</v>
      </c>
      <c r="H107" s="58">
        <v>45042</v>
      </c>
    </row>
    <row r="108" spans="1:19" x14ac:dyDescent="0.25">
      <c r="A108" t="s">
        <v>84</v>
      </c>
      <c r="B108" s="62">
        <v>45042</v>
      </c>
    </row>
    <row r="109" spans="1:19" x14ac:dyDescent="0.25">
      <c r="A109" t="s">
        <v>97</v>
      </c>
      <c r="J109" s="58">
        <v>45042</v>
      </c>
    </row>
    <row r="110" spans="1:19" ht="18.75" x14ac:dyDescent="0.3">
      <c r="A110" s="113" t="s">
        <v>102</v>
      </c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</row>
    <row r="111" spans="1:19" x14ac:dyDescent="0.25">
      <c r="A111" t="s">
        <v>96</v>
      </c>
      <c r="B111" s="62">
        <v>45044</v>
      </c>
      <c r="C111" s="66" t="s">
        <v>101</v>
      </c>
    </row>
    <row r="112" spans="1:19" x14ac:dyDescent="0.25">
      <c r="A112" t="s">
        <v>86</v>
      </c>
      <c r="D112" s="58">
        <v>45044</v>
      </c>
    </row>
    <row r="113" spans="1:14" x14ac:dyDescent="0.25">
      <c r="A113" t="s">
        <v>96</v>
      </c>
      <c r="F113" s="58">
        <v>45044</v>
      </c>
    </row>
    <row r="114" spans="1:14" x14ac:dyDescent="0.25">
      <c r="A114" t="s">
        <v>96</v>
      </c>
      <c r="H114" s="58">
        <v>45044</v>
      </c>
    </row>
    <row r="115" spans="1:14" x14ac:dyDescent="0.25">
      <c r="A115" t="s">
        <v>84</v>
      </c>
      <c r="B115" s="62">
        <v>45050</v>
      </c>
    </row>
    <row r="116" spans="1:14" x14ac:dyDescent="0.25">
      <c r="A116" t="s">
        <v>90</v>
      </c>
      <c r="F116" s="58">
        <v>45050</v>
      </c>
    </row>
    <row r="117" spans="1:14" x14ac:dyDescent="0.25">
      <c r="A117" t="s">
        <v>83</v>
      </c>
      <c r="F117" s="58">
        <v>45051</v>
      </c>
    </row>
    <row r="118" spans="1:14" x14ac:dyDescent="0.25">
      <c r="A118" t="s">
        <v>91</v>
      </c>
      <c r="D118" s="58">
        <v>45051</v>
      </c>
      <c r="F118" s="58"/>
    </row>
    <row r="119" spans="1:14" x14ac:dyDescent="0.25">
      <c r="A119" t="s">
        <v>90</v>
      </c>
      <c r="F119" s="58">
        <v>45054</v>
      </c>
    </row>
    <row r="120" spans="1:14" x14ac:dyDescent="0.25">
      <c r="A120" t="s">
        <v>96</v>
      </c>
      <c r="D120" s="58">
        <v>45054</v>
      </c>
    </row>
    <row r="121" spans="1:14" x14ac:dyDescent="0.25">
      <c r="A121" t="s">
        <v>96</v>
      </c>
      <c r="N121" s="58">
        <v>45055</v>
      </c>
    </row>
    <row r="122" spans="1:14" x14ac:dyDescent="0.25">
      <c r="A122" t="s">
        <v>86</v>
      </c>
      <c r="N122" s="58">
        <v>44328</v>
      </c>
    </row>
    <row r="123" spans="1:14" x14ac:dyDescent="0.25">
      <c r="A123" t="s">
        <v>192</v>
      </c>
      <c r="H123" s="58">
        <v>45061</v>
      </c>
      <c r="N123" s="58"/>
    </row>
    <row r="124" spans="1:14" x14ac:dyDescent="0.25">
      <c r="A124" t="s">
        <v>93</v>
      </c>
      <c r="J124" s="58">
        <v>45058</v>
      </c>
      <c r="N124" s="58"/>
    </row>
    <row r="125" spans="1:14" x14ac:dyDescent="0.25">
      <c r="A125" t="s">
        <v>114</v>
      </c>
      <c r="J125" s="58"/>
      <c r="L125" s="58">
        <v>45058</v>
      </c>
      <c r="N125" s="58"/>
    </row>
    <row r="126" spans="1:14" x14ac:dyDescent="0.25">
      <c r="A126" t="s">
        <v>86</v>
      </c>
      <c r="N126" s="58">
        <v>45061</v>
      </c>
    </row>
    <row r="127" spans="1:14" x14ac:dyDescent="0.25">
      <c r="A127" t="s">
        <v>98</v>
      </c>
      <c r="N127" s="58">
        <v>45062</v>
      </c>
    </row>
    <row r="128" spans="1:14" x14ac:dyDescent="0.25">
      <c r="A128" t="s">
        <v>96</v>
      </c>
      <c r="N128" s="58">
        <v>45064</v>
      </c>
    </row>
    <row r="129" spans="1:19" x14ac:dyDescent="0.25">
      <c r="A129" t="s">
        <v>91</v>
      </c>
      <c r="B129" s="62">
        <v>45064</v>
      </c>
    </row>
    <row r="130" spans="1:19" x14ac:dyDescent="0.25">
      <c r="A130" t="s">
        <v>83</v>
      </c>
      <c r="F130" s="58">
        <v>45064</v>
      </c>
    </row>
    <row r="131" spans="1:19" x14ac:dyDescent="0.25">
      <c r="A131" t="s">
        <v>96</v>
      </c>
      <c r="F131" s="58">
        <v>45068</v>
      </c>
      <c r="N131" s="58">
        <v>45065</v>
      </c>
      <c r="O131" s="69" t="s">
        <v>115</v>
      </c>
    </row>
    <row r="132" spans="1:19" x14ac:dyDescent="0.25">
      <c r="A132" t="s">
        <v>98</v>
      </c>
      <c r="F132" s="58">
        <v>45069</v>
      </c>
    </row>
    <row r="133" spans="1:19" x14ac:dyDescent="0.25">
      <c r="A133" t="s">
        <v>83</v>
      </c>
      <c r="D133" s="58">
        <v>45070</v>
      </c>
    </row>
    <row r="134" spans="1:19" x14ac:dyDescent="0.25">
      <c r="A134" t="s">
        <v>96</v>
      </c>
      <c r="H134" s="58">
        <v>45071</v>
      </c>
    </row>
    <row r="135" spans="1:19" x14ac:dyDescent="0.25">
      <c r="A135" t="s">
        <v>96</v>
      </c>
      <c r="H135" s="58">
        <v>45071</v>
      </c>
    </row>
    <row r="136" spans="1:19" x14ac:dyDescent="0.25">
      <c r="A136" t="s">
        <v>91</v>
      </c>
      <c r="D136" s="58">
        <v>45072</v>
      </c>
      <c r="H136" s="58"/>
    </row>
    <row r="137" spans="1:19" ht="18.75" x14ac:dyDescent="0.3">
      <c r="A137" s="113" t="s">
        <v>116</v>
      </c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</row>
    <row r="138" spans="1:19" x14ac:dyDescent="0.25">
      <c r="A138" t="s">
        <v>90</v>
      </c>
      <c r="H138" s="58">
        <v>45075</v>
      </c>
    </row>
    <row r="139" spans="1:19" x14ac:dyDescent="0.25">
      <c r="A139" t="s">
        <v>96</v>
      </c>
      <c r="B139" s="62">
        <v>45076</v>
      </c>
      <c r="C139" s="70" t="s">
        <v>117</v>
      </c>
      <c r="D139" s="71"/>
      <c r="E139" s="71"/>
    </row>
    <row r="140" spans="1:19" x14ac:dyDescent="0.25">
      <c r="A140" t="s">
        <v>83</v>
      </c>
      <c r="L140" s="58">
        <v>45076</v>
      </c>
    </row>
    <row r="141" spans="1:19" x14ac:dyDescent="0.25">
      <c r="A141" t="s">
        <v>90</v>
      </c>
      <c r="H141" s="58">
        <v>45076</v>
      </c>
    </row>
    <row r="142" spans="1:19" x14ac:dyDescent="0.25">
      <c r="A142" t="s">
        <v>129</v>
      </c>
      <c r="H142" s="58">
        <v>45076</v>
      </c>
      <c r="I142" s="65" t="s">
        <v>119</v>
      </c>
    </row>
    <row r="143" spans="1:19" x14ac:dyDescent="0.25">
      <c r="A143" t="s">
        <v>96</v>
      </c>
      <c r="N143" s="58">
        <v>45076</v>
      </c>
      <c r="O143" s="124" t="s">
        <v>126</v>
      </c>
      <c r="P143" s="124"/>
    </row>
    <row r="144" spans="1:19" x14ac:dyDescent="0.25">
      <c r="A144" t="s">
        <v>83</v>
      </c>
      <c r="B144" s="62">
        <v>45077</v>
      </c>
    </row>
    <row r="145" spans="1:14" x14ac:dyDescent="0.25">
      <c r="A145" t="s">
        <v>129</v>
      </c>
      <c r="L145" s="58">
        <v>45077</v>
      </c>
      <c r="M145" s="65" t="s">
        <v>119</v>
      </c>
    </row>
    <row r="146" spans="1:14" x14ac:dyDescent="0.25">
      <c r="A146" t="s">
        <v>120</v>
      </c>
      <c r="H146" s="58">
        <v>45077</v>
      </c>
    </row>
    <row r="147" spans="1:14" x14ac:dyDescent="0.25">
      <c r="A147" t="s">
        <v>83</v>
      </c>
      <c r="B147" s="62">
        <v>45077</v>
      </c>
    </row>
    <row r="148" spans="1:14" x14ac:dyDescent="0.25">
      <c r="A148" t="s">
        <v>96</v>
      </c>
      <c r="B148" s="62">
        <v>45079</v>
      </c>
    </row>
    <row r="149" spans="1:14" x14ac:dyDescent="0.25">
      <c r="A149" t="s">
        <v>91</v>
      </c>
      <c r="B149" s="62">
        <v>45082</v>
      </c>
    </row>
    <row r="150" spans="1:14" x14ac:dyDescent="0.25">
      <c r="H150" s="58">
        <v>45085</v>
      </c>
      <c r="I150" s="72" t="s">
        <v>121</v>
      </c>
    </row>
    <row r="151" spans="1:14" x14ac:dyDescent="0.25">
      <c r="A151" t="s">
        <v>96</v>
      </c>
      <c r="B151" s="62">
        <v>45083</v>
      </c>
    </row>
    <row r="152" spans="1:14" x14ac:dyDescent="0.25">
      <c r="A152" t="s">
        <v>83</v>
      </c>
      <c r="B152" s="62">
        <v>45085</v>
      </c>
    </row>
    <row r="153" spans="1:14" x14ac:dyDescent="0.25">
      <c r="A153" t="s">
        <v>91</v>
      </c>
      <c r="N153" s="58">
        <v>45085</v>
      </c>
    </row>
    <row r="154" spans="1:14" x14ac:dyDescent="0.25">
      <c r="A154" t="s">
        <v>83</v>
      </c>
      <c r="B154" s="62">
        <v>45085</v>
      </c>
    </row>
    <row r="155" spans="1:14" x14ac:dyDescent="0.25">
      <c r="A155" t="s">
        <v>96</v>
      </c>
      <c r="H155" s="58">
        <v>45085</v>
      </c>
    </row>
    <row r="156" spans="1:14" x14ac:dyDescent="0.25">
      <c r="A156" t="s">
        <v>90</v>
      </c>
      <c r="N156" s="58">
        <v>45086</v>
      </c>
    </row>
    <row r="157" spans="1:14" x14ac:dyDescent="0.25">
      <c r="A157" t="s">
        <v>122</v>
      </c>
      <c r="F157" s="58">
        <v>45089</v>
      </c>
      <c r="M157" s="69" t="s">
        <v>99</v>
      </c>
    </row>
    <row r="158" spans="1:14" x14ac:dyDescent="0.25">
      <c r="A158" t="s">
        <v>91</v>
      </c>
      <c r="N158" s="58">
        <v>45092</v>
      </c>
    </row>
    <row r="159" spans="1:14" x14ac:dyDescent="0.25">
      <c r="A159" t="s">
        <v>83</v>
      </c>
      <c r="J159" s="58">
        <v>45092</v>
      </c>
    </row>
    <row r="160" spans="1:14" x14ac:dyDescent="0.25">
      <c r="A160" t="s">
        <v>190</v>
      </c>
      <c r="B160" s="62">
        <v>45093</v>
      </c>
    </row>
    <row r="161" spans="1:19" x14ac:dyDescent="0.25">
      <c r="A161" t="s">
        <v>96</v>
      </c>
      <c r="J161" s="58">
        <v>45093</v>
      </c>
    </row>
    <row r="162" spans="1:19" x14ac:dyDescent="0.25">
      <c r="A162" t="s">
        <v>123</v>
      </c>
      <c r="J162" s="58">
        <v>45099</v>
      </c>
    </row>
    <row r="163" spans="1:19" x14ac:dyDescent="0.25">
      <c r="A163" t="s">
        <v>90</v>
      </c>
      <c r="J163" s="58">
        <v>45100</v>
      </c>
      <c r="K163" s="117" t="s">
        <v>125</v>
      </c>
      <c r="L163" s="117"/>
      <c r="M163" s="117"/>
    </row>
    <row r="164" spans="1:19" ht="18.75" x14ac:dyDescent="0.3">
      <c r="A164" s="113" t="s">
        <v>133</v>
      </c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</row>
    <row r="165" spans="1:19" x14ac:dyDescent="0.25">
      <c r="A165" t="s">
        <v>83</v>
      </c>
      <c r="F165" s="58">
        <v>45106</v>
      </c>
      <c r="G165" s="117" t="s">
        <v>124</v>
      </c>
      <c r="H165" s="117"/>
      <c r="I165" s="117"/>
    </row>
    <row r="166" spans="1:19" x14ac:dyDescent="0.25">
      <c r="A166" t="s">
        <v>123</v>
      </c>
      <c r="L166" s="58">
        <v>45106</v>
      </c>
      <c r="M166" s="117" t="s">
        <v>127</v>
      </c>
      <c r="N166" s="117"/>
      <c r="O166" s="117"/>
    </row>
    <row r="167" spans="1:19" x14ac:dyDescent="0.25">
      <c r="A167" t="s">
        <v>96</v>
      </c>
      <c r="D167" s="58">
        <v>45106</v>
      </c>
    </row>
    <row r="168" spans="1:19" x14ac:dyDescent="0.25">
      <c r="A168" t="s">
        <v>96</v>
      </c>
      <c r="D168" s="58">
        <v>45107</v>
      </c>
    </row>
    <row r="169" spans="1:19" x14ac:dyDescent="0.25">
      <c r="A169" t="s">
        <v>128</v>
      </c>
      <c r="F169" s="58">
        <v>45015</v>
      </c>
    </row>
    <row r="170" spans="1:19" x14ac:dyDescent="0.25">
      <c r="A170" t="s">
        <v>95</v>
      </c>
      <c r="F170" s="58">
        <v>45015</v>
      </c>
    </row>
    <row r="171" spans="1:19" x14ac:dyDescent="0.25">
      <c r="A171" t="s">
        <v>170</v>
      </c>
      <c r="F171" s="58">
        <v>45112</v>
      </c>
    </row>
    <row r="172" spans="1:19" x14ac:dyDescent="0.25">
      <c r="A172" t="s">
        <v>129</v>
      </c>
      <c r="F172" s="58">
        <v>45113</v>
      </c>
    </row>
    <row r="173" spans="1:19" x14ac:dyDescent="0.25">
      <c r="A173" t="s">
        <v>190</v>
      </c>
    </row>
    <row r="174" spans="1:19" x14ac:dyDescent="0.25">
      <c r="A174" t="s">
        <v>83</v>
      </c>
      <c r="B174" s="58">
        <v>45114</v>
      </c>
    </row>
    <row r="175" spans="1:19" x14ac:dyDescent="0.25">
      <c r="A175" t="s">
        <v>90</v>
      </c>
      <c r="F175" s="58">
        <v>45118</v>
      </c>
      <c r="H175" s="73"/>
      <c r="I175" s="73"/>
    </row>
    <row r="176" spans="1:19" x14ac:dyDescent="0.25">
      <c r="A176" t="s">
        <v>83</v>
      </c>
      <c r="B176" s="62">
        <v>45118</v>
      </c>
      <c r="F176" s="58"/>
      <c r="H176" s="73"/>
      <c r="I176" s="73"/>
    </row>
    <row r="177" spans="1:19" x14ac:dyDescent="0.25">
      <c r="A177" t="s">
        <v>130</v>
      </c>
      <c r="H177" s="58">
        <v>45119</v>
      </c>
      <c r="I177" s="119" t="s">
        <v>131</v>
      </c>
      <c r="J177" s="119"/>
      <c r="K177" s="119"/>
    </row>
    <row r="178" spans="1:19" x14ac:dyDescent="0.25">
      <c r="A178" t="s">
        <v>95</v>
      </c>
      <c r="H178" s="58">
        <v>45120</v>
      </c>
    </row>
    <row r="179" spans="1:19" x14ac:dyDescent="0.25">
      <c r="A179" t="s">
        <v>96</v>
      </c>
      <c r="H179" s="58">
        <v>45127</v>
      </c>
    </row>
    <row r="180" spans="1:19" x14ac:dyDescent="0.25">
      <c r="A180" t="s">
        <v>129</v>
      </c>
      <c r="F180" s="58">
        <v>45127</v>
      </c>
    </row>
    <row r="181" spans="1:19" x14ac:dyDescent="0.25">
      <c r="A181" t="s">
        <v>90</v>
      </c>
      <c r="H181" s="58">
        <v>45128</v>
      </c>
    </row>
    <row r="182" spans="1:19" x14ac:dyDescent="0.25">
      <c r="A182" t="s">
        <v>130</v>
      </c>
      <c r="F182" s="58">
        <v>45128</v>
      </c>
    </row>
    <row r="183" spans="1:19" x14ac:dyDescent="0.25">
      <c r="A183" t="s">
        <v>130</v>
      </c>
      <c r="H183" s="58">
        <v>45133</v>
      </c>
    </row>
    <row r="184" spans="1:19" x14ac:dyDescent="0.25">
      <c r="A184" t="s">
        <v>96</v>
      </c>
      <c r="L184" s="58">
        <v>45134</v>
      </c>
    </row>
    <row r="185" spans="1:19" ht="18.75" x14ac:dyDescent="0.3">
      <c r="A185" s="113" t="s">
        <v>132</v>
      </c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</row>
    <row r="186" spans="1:19" x14ac:dyDescent="0.25">
      <c r="A186" t="s">
        <v>130</v>
      </c>
      <c r="J186" s="58">
        <v>45105</v>
      </c>
    </row>
    <row r="187" spans="1:19" x14ac:dyDescent="0.25">
      <c r="A187" t="s">
        <v>170</v>
      </c>
      <c r="N187" s="58">
        <v>45135</v>
      </c>
    </row>
    <row r="188" spans="1:19" x14ac:dyDescent="0.25">
      <c r="A188" t="s">
        <v>96</v>
      </c>
      <c r="L188" s="58">
        <v>45105</v>
      </c>
    </row>
    <row r="189" spans="1:19" x14ac:dyDescent="0.25">
      <c r="A189" t="s">
        <v>123</v>
      </c>
      <c r="N189" s="58">
        <v>45135</v>
      </c>
    </row>
    <row r="190" spans="1:19" x14ac:dyDescent="0.25">
      <c r="A190" t="s">
        <v>95</v>
      </c>
      <c r="N190" s="58">
        <v>45138</v>
      </c>
    </row>
    <row r="191" spans="1:19" x14ac:dyDescent="0.25">
      <c r="A191" t="s">
        <v>129</v>
      </c>
      <c r="J191" s="58">
        <v>45077</v>
      </c>
    </row>
    <row r="192" spans="1:19" x14ac:dyDescent="0.25">
      <c r="A192" t="s">
        <v>96</v>
      </c>
      <c r="B192" s="62">
        <v>45139</v>
      </c>
    </row>
    <row r="193" spans="1:19" x14ac:dyDescent="0.25">
      <c r="A193" t="s">
        <v>96</v>
      </c>
      <c r="B193" s="62">
        <v>45139</v>
      </c>
      <c r="J193" s="58"/>
    </row>
    <row r="194" spans="1:19" x14ac:dyDescent="0.25">
      <c r="A194" t="s">
        <v>91</v>
      </c>
      <c r="H194" s="58">
        <v>45142</v>
      </c>
      <c r="J194" s="58"/>
    </row>
    <row r="195" spans="1:19" x14ac:dyDescent="0.25">
      <c r="A195" t="s">
        <v>90</v>
      </c>
      <c r="J195" s="58">
        <v>45142</v>
      </c>
    </row>
    <row r="196" spans="1:19" x14ac:dyDescent="0.25">
      <c r="A196" t="s">
        <v>90</v>
      </c>
      <c r="H196" s="58">
        <v>45146</v>
      </c>
      <c r="J196" s="58"/>
    </row>
    <row r="197" spans="1:19" x14ac:dyDescent="0.25">
      <c r="A197" t="s">
        <v>171</v>
      </c>
      <c r="J197" s="58">
        <v>45149</v>
      </c>
    </row>
    <row r="198" spans="1:19" x14ac:dyDescent="0.25">
      <c r="A198" t="s">
        <v>96</v>
      </c>
      <c r="H198" s="58">
        <v>45149</v>
      </c>
      <c r="J198" s="58"/>
    </row>
    <row r="199" spans="1:19" x14ac:dyDescent="0.25">
      <c r="A199" t="s">
        <v>190</v>
      </c>
      <c r="H199" s="58">
        <v>45152</v>
      </c>
      <c r="J199" s="58"/>
    </row>
    <row r="200" spans="1:19" x14ac:dyDescent="0.25">
      <c r="A200" t="s">
        <v>98</v>
      </c>
      <c r="H200" s="58">
        <v>45153</v>
      </c>
      <c r="J200" s="58"/>
    </row>
    <row r="201" spans="1:19" x14ac:dyDescent="0.25">
      <c r="A201" t="s">
        <v>90</v>
      </c>
      <c r="H201" s="58"/>
      <c r="J201" s="58"/>
      <c r="L201" s="58">
        <v>45153</v>
      </c>
    </row>
    <row r="202" spans="1:19" x14ac:dyDescent="0.25">
      <c r="A202" t="s">
        <v>170</v>
      </c>
      <c r="L202" s="58">
        <v>45154</v>
      </c>
    </row>
    <row r="203" spans="1:19" x14ac:dyDescent="0.25">
      <c r="A203" t="s">
        <v>123</v>
      </c>
      <c r="L203" s="58">
        <v>45154</v>
      </c>
    </row>
    <row r="204" spans="1:19" x14ac:dyDescent="0.25">
      <c r="A204" t="s">
        <v>170</v>
      </c>
      <c r="L204" s="58">
        <v>45155</v>
      </c>
    </row>
    <row r="205" spans="1:19" x14ac:dyDescent="0.25">
      <c r="A205" t="s">
        <v>96</v>
      </c>
      <c r="D205" s="58">
        <v>45155</v>
      </c>
    </row>
    <row r="206" spans="1:19" x14ac:dyDescent="0.25">
      <c r="A206" t="s">
        <v>90</v>
      </c>
      <c r="J206" s="58">
        <v>45155</v>
      </c>
    </row>
    <row r="207" spans="1:19" x14ac:dyDescent="0.25">
      <c r="A207" t="s">
        <v>129</v>
      </c>
      <c r="L207" s="58">
        <v>45155</v>
      </c>
    </row>
    <row r="208" spans="1:19" s="76" customFormat="1" ht="17.25" x14ac:dyDescent="0.3">
      <c r="A208" s="76" t="s">
        <v>166</v>
      </c>
      <c r="B208" s="125" t="s">
        <v>167</v>
      </c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</row>
    <row r="209" spans="1:19" x14ac:dyDescent="0.25">
      <c r="A209" t="s">
        <v>83</v>
      </c>
      <c r="L209" s="58">
        <v>45156</v>
      </c>
    </row>
    <row r="210" spans="1:19" x14ac:dyDescent="0.25">
      <c r="A210" t="s">
        <v>129</v>
      </c>
      <c r="L210" s="58">
        <v>45160</v>
      </c>
    </row>
    <row r="211" spans="1:19" x14ac:dyDescent="0.25">
      <c r="A211" t="s">
        <v>83</v>
      </c>
      <c r="L211" s="58">
        <v>45161</v>
      </c>
    </row>
    <row r="212" spans="1:19" x14ac:dyDescent="0.25">
      <c r="A212" t="s">
        <v>123</v>
      </c>
      <c r="J212" s="58">
        <v>45162</v>
      </c>
    </row>
    <row r="213" spans="1:19" x14ac:dyDescent="0.25">
      <c r="A213" t="s">
        <v>83</v>
      </c>
      <c r="J213" s="58"/>
      <c r="L213" s="58">
        <v>45162</v>
      </c>
    </row>
    <row r="214" spans="1:19" x14ac:dyDescent="0.25">
      <c r="A214" t="s">
        <v>123</v>
      </c>
      <c r="F214" s="58">
        <v>45162</v>
      </c>
      <c r="L214" s="58"/>
    </row>
    <row r="215" spans="1:19" x14ac:dyDescent="0.25">
      <c r="A215" t="s">
        <v>83</v>
      </c>
      <c r="F215" s="58">
        <v>45163</v>
      </c>
    </row>
    <row r="216" spans="1:19" x14ac:dyDescent="0.25">
      <c r="A216" t="s">
        <v>170</v>
      </c>
      <c r="L216" s="58">
        <v>45163</v>
      </c>
    </row>
    <row r="217" spans="1:19" x14ac:dyDescent="0.25">
      <c r="A217" t="s">
        <v>83</v>
      </c>
      <c r="J217" s="58">
        <v>45163</v>
      </c>
    </row>
    <row r="218" spans="1:19" x14ac:dyDescent="0.25">
      <c r="A218" t="s">
        <v>171</v>
      </c>
      <c r="N218" s="58">
        <v>45163</v>
      </c>
    </row>
    <row r="219" spans="1:19" ht="18.75" x14ac:dyDescent="0.3">
      <c r="A219" s="113" t="s">
        <v>168</v>
      </c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</row>
    <row r="220" spans="1:19" x14ac:dyDescent="0.25">
      <c r="A220" t="s">
        <v>129</v>
      </c>
      <c r="F220" s="58">
        <v>45166</v>
      </c>
    </row>
    <row r="221" spans="1:19" x14ac:dyDescent="0.25">
      <c r="A221" t="s">
        <v>169</v>
      </c>
      <c r="N221" s="58">
        <v>45166</v>
      </c>
    </row>
    <row r="222" spans="1:19" x14ac:dyDescent="0.25">
      <c r="A222" t="s">
        <v>129</v>
      </c>
      <c r="J222" s="58">
        <v>45167</v>
      </c>
    </row>
    <row r="223" spans="1:19" x14ac:dyDescent="0.25">
      <c r="A223" t="s">
        <v>90</v>
      </c>
      <c r="F223" s="58">
        <v>45167</v>
      </c>
    </row>
    <row r="224" spans="1:19" x14ac:dyDescent="0.25">
      <c r="A224" t="s">
        <v>83</v>
      </c>
      <c r="F224" s="58">
        <v>45168</v>
      </c>
    </row>
    <row r="225" spans="1:14" x14ac:dyDescent="0.25">
      <c r="A225" t="s">
        <v>123</v>
      </c>
      <c r="J225" s="58">
        <v>45168</v>
      </c>
    </row>
    <row r="226" spans="1:14" x14ac:dyDescent="0.25">
      <c r="A226" t="s">
        <v>96</v>
      </c>
      <c r="F226" s="58">
        <v>45168</v>
      </c>
    </row>
    <row r="227" spans="1:14" x14ac:dyDescent="0.25">
      <c r="A227" t="s">
        <v>170</v>
      </c>
      <c r="H227" s="58">
        <v>45169</v>
      </c>
    </row>
    <row r="228" spans="1:14" x14ac:dyDescent="0.25">
      <c r="A228" t="s">
        <v>83</v>
      </c>
      <c r="J228" s="58">
        <v>45169</v>
      </c>
    </row>
    <row r="229" spans="1:14" x14ac:dyDescent="0.25">
      <c r="A229" t="s">
        <v>171</v>
      </c>
      <c r="F229" s="58">
        <v>45169</v>
      </c>
    </row>
    <row r="230" spans="1:14" x14ac:dyDescent="0.25">
      <c r="A230" t="s">
        <v>96</v>
      </c>
      <c r="B230" s="62">
        <v>45169</v>
      </c>
    </row>
    <row r="231" spans="1:14" x14ac:dyDescent="0.25">
      <c r="A231" t="s">
        <v>169</v>
      </c>
      <c r="H231" s="58">
        <v>45169</v>
      </c>
    </row>
    <row r="232" spans="1:14" x14ac:dyDescent="0.25">
      <c r="A232" t="s">
        <v>129</v>
      </c>
      <c r="J232" s="58">
        <v>45169</v>
      </c>
    </row>
    <row r="233" spans="1:14" x14ac:dyDescent="0.25">
      <c r="A233" t="s">
        <v>90</v>
      </c>
      <c r="N233" s="58">
        <v>45170</v>
      </c>
    </row>
    <row r="234" spans="1:14" x14ac:dyDescent="0.25">
      <c r="A234" t="s">
        <v>170</v>
      </c>
      <c r="D234" s="58">
        <v>45170</v>
      </c>
    </row>
    <row r="235" spans="1:14" x14ac:dyDescent="0.25">
      <c r="A235" t="s">
        <v>129</v>
      </c>
      <c r="F235" s="58">
        <v>45176</v>
      </c>
    </row>
    <row r="236" spans="1:14" x14ac:dyDescent="0.25">
      <c r="A236" t="s">
        <v>83</v>
      </c>
      <c r="D236" s="58">
        <v>45177</v>
      </c>
    </row>
    <row r="237" spans="1:14" x14ac:dyDescent="0.25">
      <c r="A237" t="s">
        <v>90</v>
      </c>
      <c r="N237" s="58">
        <v>45177</v>
      </c>
    </row>
    <row r="238" spans="1:14" x14ac:dyDescent="0.25">
      <c r="A238" t="s">
        <v>171</v>
      </c>
      <c r="L238" s="58">
        <v>45180</v>
      </c>
    </row>
    <row r="239" spans="1:14" x14ac:dyDescent="0.25">
      <c r="A239" t="s">
        <v>96</v>
      </c>
      <c r="N239" s="58">
        <v>45180</v>
      </c>
    </row>
    <row r="240" spans="1:14" x14ac:dyDescent="0.25">
      <c r="A240" t="s">
        <v>129</v>
      </c>
      <c r="H240" s="58">
        <v>45182</v>
      </c>
    </row>
    <row r="241" spans="1:19" x14ac:dyDescent="0.25">
      <c r="A241" t="s">
        <v>171</v>
      </c>
      <c r="H241" s="58">
        <v>45183</v>
      </c>
    </row>
    <row r="242" spans="1:19" x14ac:dyDescent="0.25">
      <c r="A242" t="s">
        <v>171</v>
      </c>
      <c r="N242" s="58">
        <v>45188</v>
      </c>
    </row>
    <row r="243" spans="1:19" x14ac:dyDescent="0.25">
      <c r="A243" t="s">
        <v>90</v>
      </c>
      <c r="H243" s="58">
        <v>45189</v>
      </c>
    </row>
    <row r="244" spans="1:19" x14ac:dyDescent="0.25">
      <c r="A244" t="s">
        <v>129</v>
      </c>
      <c r="L244" s="58">
        <v>45189</v>
      </c>
    </row>
    <row r="245" spans="1:19" x14ac:dyDescent="0.25">
      <c r="A245" t="s">
        <v>90</v>
      </c>
      <c r="H245" s="58">
        <v>45190</v>
      </c>
    </row>
    <row r="246" spans="1:19" x14ac:dyDescent="0.25">
      <c r="A246" t="s">
        <v>129</v>
      </c>
      <c r="J246" s="58">
        <v>45191</v>
      </c>
    </row>
    <row r="247" spans="1:19" x14ac:dyDescent="0.25">
      <c r="A247" t="s">
        <v>174</v>
      </c>
      <c r="L247" s="58">
        <v>45191</v>
      </c>
    </row>
    <row r="248" spans="1:19" x14ac:dyDescent="0.25">
      <c r="A248" t="s">
        <v>175</v>
      </c>
      <c r="F248" s="58">
        <v>45194</v>
      </c>
    </row>
    <row r="249" spans="1:19" x14ac:dyDescent="0.25">
      <c r="A249" t="s">
        <v>129</v>
      </c>
      <c r="D249" s="58">
        <v>45195</v>
      </c>
    </row>
    <row r="250" spans="1:19" x14ac:dyDescent="0.25">
      <c r="A250" t="s">
        <v>90</v>
      </c>
      <c r="L250" s="58">
        <v>45195</v>
      </c>
      <c r="O250" t="s">
        <v>176</v>
      </c>
    </row>
    <row r="251" spans="1:19" ht="18.75" x14ac:dyDescent="0.3">
      <c r="A251" s="113" t="s">
        <v>173</v>
      </c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</row>
    <row r="252" spans="1:19" x14ac:dyDescent="0.25">
      <c r="A252" t="s">
        <v>129</v>
      </c>
      <c r="H252" s="58">
        <v>45196</v>
      </c>
    </row>
    <row r="253" spans="1:19" x14ac:dyDescent="0.25">
      <c r="A253" t="s">
        <v>171</v>
      </c>
      <c r="D253" s="58">
        <v>45197</v>
      </c>
    </row>
    <row r="254" spans="1:19" x14ac:dyDescent="0.25">
      <c r="A254" t="s">
        <v>83</v>
      </c>
      <c r="L254" s="58">
        <v>45197</v>
      </c>
    </row>
    <row r="255" spans="1:19" x14ac:dyDescent="0.25">
      <c r="A255" t="s">
        <v>171</v>
      </c>
      <c r="F255" s="58">
        <v>45198</v>
      </c>
    </row>
    <row r="256" spans="1:19" x14ac:dyDescent="0.25">
      <c r="A256" t="s">
        <v>169</v>
      </c>
      <c r="D256" s="58">
        <v>45198</v>
      </c>
    </row>
    <row r="257" spans="1:19" x14ac:dyDescent="0.25">
      <c r="A257" t="s">
        <v>92</v>
      </c>
      <c r="H257" s="58">
        <v>45198</v>
      </c>
    </row>
    <row r="258" spans="1:19" x14ac:dyDescent="0.25">
      <c r="A258" t="s">
        <v>129</v>
      </c>
      <c r="L258" s="58">
        <v>45198</v>
      </c>
    </row>
    <row r="259" spans="1:19" x14ac:dyDescent="0.25">
      <c r="A259" t="s">
        <v>92</v>
      </c>
      <c r="L259" s="58">
        <v>45201</v>
      </c>
    </row>
    <row r="260" spans="1:19" x14ac:dyDescent="0.25">
      <c r="A260" t="s">
        <v>85</v>
      </c>
      <c r="R260" s="58">
        <v>45202</v>
      </c>
      <c r="S260" t="s">
        <v>177</v>
      </c>
    </row>
    <row r="261" spans="1:19" x14ac:dyDescent="0.25">
      <c r="A261" t="s">
        <v>129</v>
      </c>
      <c r="N261" s="58">
        <v>45204</v>
      </c>
    </row>
    <row r="262" spans="1:19" x14ac:dyDescent="0.25">
      <c r="A262" t="s">
        <v>129</v>
      </c>
      <c r="F262" s="58">
        <v>45205</v>
      </c>
    </row>
    <row r="263" spans="1:19" x14ac:dyDescent="0.25">
      <c r="A263" t="s">
        <v>175</v>
      </c>
      <c r="F263" s="58"/>
      <c r="L263" s="58">
        <v>45205</v>
      </c>
    </row>
    <row r="264" spans="1:19" x14ac:dyDescent="0.25">
      <c r="A264" t="s">
        <v>169</v>
      </c>
      <c r="F264" s="58"/>
      <c r="H264" s="58">
        <v>45205</v>
      </c>
    </row>
    <row r="265" spans="1:19" x14ac:dyDescent="0.25">
      <c r="A265" t="s">
        <v>90</v>
      </c>
      <c r="F265" s="58"/>
      <c r="N265" s="58">
        <v>45205</v>
      </c>
    </row>
    <row r="266" spans="1:19" x14ac:dyDescent="0.25">
      <c r="A266" t="s">
        <v>175</v>
      </c>
      <c r="F266" s="58">
        <v>45209</v>
      </c>
    </row>
    <row r="267" spans="1:19" x14ac:dyDescent="0.25">
      <c r="A267" t="s">
        <v>129</v>
      </c>
      <c r="H267" s="58">
        <v>45209</v>
      </c>
    </row>
    <row r="268" spans="1:19" x14ac:dyDescent="0.25">
      <c r="A268" t="s">
        <v>178</v>
      </c>
      <c r="L268" s="58">
        <v>45212</v>
      </c>
    </row>
    <row r="269" spans="1:19" x14ac:dyDescent="0.25">
      <c r="A269" t="s">
        <v>90</v>
      </c>
      <c r="L269" s="58">
        <v>45215</v>
      </c>
    </row>
    <row r="270" spans="1:19" x14ac:dyDescent="0.25">
      <c r="A270" t="s">
        <v>178</v>
      </c>
      <c r="D270" s="58">
        <v>45215</v>
      </c>
    </row>
    <row r="271" spans="1:19" x14ac:dyDescent="0.25">
      <c r="A271" t="s">
        <v>175</v>
      </c>
      <c r="H271" s="58">
        <v>45218</v>
      </c>
    </row>
    <row r="272" spans="1:19" x14ac:dyDescent="0.25">
      <c r="A272" t="s">
        <v>171</v>
      </c>
      <c r="F272" s="58">
        <v>45218</v>
      </c>
    </row>
    <row r="273" spans="1:16" x14ac:dyDescent="0.25">
      <c r="A273" t="s">
        <v>129</v>
      </c>
      <c r="N273" s="58">
        <v>45218</v>
      </c>
      <c r="O273" t="s">
        <v>179</v>
      </c>
    </row>
    <row r="274" spans="1:16" x14ac:dyDescent="0.25">
      <c r="A274" t="s">
        <v>98</v>
      </c>
      <c r="P274" s="58">
        <v>45218</v>
      </c>
    </row>
    <row r="275" spans="1:16" x14ac:dyDescent="0.25">
      <c r="A275" t="s">
        <v>178</v>
      </c>
      <c r="F275" s="58">
        <v>45218</v>
      </c>
    </row>
    <row r="276" spans="1:16" x14ac:dyDescent="0.25">
      <c r="A276" t="s">
        <v>175</v>
      </c>
      <c r="J276" s="58">
        <v>45219</v>
      </c>
    </row>
    <row r="277" spans="1:16" x14ac:dyDescent="0.25">
      <c r="A277" t="s">
        <v>92</v>
      </c>
      <c r="N277" s="58">
        <v>45219</v>
      </c>
    </row>
    <row r="278" spans="1:16" x14ac:dyDescent="0.25">
      <c r="A278" t="s">
        <v>171</v>
      </c>
      <c r="L278" s="58">
        <v>45219</v>
      </c>
    </row>
    <row r="279" spans="1:16" x14ac:dyDescent="0.25">
      <c r="A279" t="s">
        <v>129</v>
      </c>
      <c r="J279" s="58">
        <v>45219</v>
      </c>
    </row>
    <row r="280" spans="1:16" x14ac:dyDescent="0.25">
      <c r="A280" t="s">
        <v>123</v>
      </c>
      <c r="J280" s="58">
        <v>45222</v>
      </c>
    </row>
    <row r="281" spans="1:16" x14ac:dyDescent="0.25">
      <c r="A281" t="s">
        <v>83</v>
      </c>
      <c r="B281" s="62">
        <v>45222</v>
      </c>
    </row>
    <row r="282" spans="1:16" x14ac:dyDescent="0.25">
      <c r="A282" t="s">
        <v>181</v>
      </c>
      <c r="N282" s="58">
        <v>45222</v>
      </c>
    </row>
    <row r="283" spans="1:16" x14ac:dyDescent="0.25">
      <c r="A283" t="s">
        <v>90</v>
      </c>
      <c r="N283" s="58">
        <v>45223</v>
      </c>
    </row>
    <row r="284" spans="1:16" x14ac:dyDescent="0.25">
      <c r="A284" t="s">
        <v>129</v>
      </c>
      <c r="N284" s="58">
        <v>45223</v>
      </c>
    </row>
    <row r="285" spans="1:16" x14ac:dyDescent="0.25">
      <c r="A285" t="s">
        <v>171</v>
      </c>
      <c r="F285" s="58">
        <v>45224</v>
      </c>
    </row>
    <row r="286" spans="1:16" x14ac:dyDescent="0.25">
      <c r="A286" t="s">
        <v>178</v>
      </c>
      <c r="N286" s="58">
        <v>45221</v>
      </c>
    </row>
    <row r="287" spans="1:16" x14ac:dyDescent="0.25">
      <c r="A287" t="s">
        <v>90</v>
      </c>
      <c r="N287" s="58">
        <v>45225</v>
      </c>
    </row>
    <row r="288" spans="1:16" x14ac:dyDescent="0.25">
      <c r="A288" t="s">
        <v>171</v>
      </c>
      <c r="J288" s="58">
        <v>45225</v>
      </c>
    </row>
    <row r="289" spans="1:19" x14ac:dyDescent="0.25">
      <c r="A289" t="s">
        <v>175</v>
      </c>
      <c r="L289" s="58">
        <v>45225</v>
      </c>
    </row>
    <row r="290" spans="1:19" ht="18.75" x14ac:dyDescent="0.3">
      <c r="A290" s="113" t="s">
        <v>182</v>
      </c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</row>
    <row r="291" spans="1:19" x14ac:dyDescent="0.25">
      <c r="B291" s="58" t="s">
        <v>186</v>
      </c>
      <c r="D291" t="s">
        <v>186</v>
      </c>
      <c r="F291" t="s">
        <v>184</v>
      </c>
      <c r="H291" t="s">
        <v>187</v>
      </c>
      <c r="J291" t="s">
        <v>187</v>
      </c>
      <c r="L291" t="s">
        <v>185</v>
      </c>
      <c r="N291" t="s">
        <v>183</v>
      </c>
      <c r="P291" t="s">
        <v>188</v>
      </c>
    </row>
    <row r="292" spans="1:19" x14ac:dyDescent="0.25">
      <c r="A292" t="s">
        <v>123</v>
      </c>
      <c r="B292" s="62">
        <v>45226</v>
      </c>
      <c r="D292" t="s">
        <v>172</v>
      </c>
    </row>
    <row r="293" spans="1:19" x14ac:dyDescent="0.25">
      <c r="A293" t="s">
        <v>171</v>
      </c>
      <c r="N293" s="58">
        <v>45226</v>
      </c>
    </row>
    <row r="294" spans="1:19" x14ac:dyDescent="0.25">
      <c r="A294" t="s">
        <v>129</v>
      </c>
      <c r="P294" s="58">
        <v>45226</v>
      </c>
    </row>
    <row r="295" spans="1:19" x14ac:dyDescent="0.25">
      <c r="H295" t="s">
        <v>189</v>
      </c>
      <c r="K295" t="s">
        <v>189</v>
      </c>
    </row>
    <row r="296" spans="1:19" x14ac:dyDescent="0.25">
      <c r="A296" t="s">
        <v>123</v>
      </c>
      <c r="B296" s="62">
        <v>45229</v>
      </c>
    </row>
    <row r="297" spans="1:19" x14ac:dyDescent="0.25">
      <c r="A297" t="s">
        <v>175</v>
      </c>
      <c r="F297" s="58">
        <v>45229</v>
      </c>
    </row>
    <row r="298" spans="1:19" x14ac:dyDescent="0.25">
      <c r="A298" t="s">
        <v>90</v>
      </c>
      <c r="H298" s="58">
        <v>45229</v>
      </c>
    </row>
    <row r="299" spans="1:19" ht="15.75" thickBot="1" x14ac:dyDescent="0.3">
      <c r="A299" s="118" t="s">
        <v>169</v>
      </c>
      <c r="B299" s="118"/>
      <c r="C299" s="118"/>
      <c r="J299" s="58">
        <v>45229</v>
      </c>
    </row>
    <row r="300" spans="1:19" x14ac:dyDescent="0.25">
      <c r="A300" t="s">
        <v>169</v>
      </c>
      <c r="J300" s="58">
        <v>45230</v>
      </c>
    </row>
    <row r="301" spans="1:19" x14ac:dyDescent="0.25">
      <c r="A301" t="s">
        <v>175</v>
      </c>
      <c r="F301" s="58">
        <v>45230</v>
      </c>
    </row>
    <row r="302" spans="1:19" x14ac:dyDescent="0.25">
      <c r="A302" t="s">
        <v>178</v>
      </c>
      <c r="P302" s="58">
        <v>45230</v>
      </c>
    </row>
    <row r="303" spans="1:19" x14ac:dyDescent="0.25">
      <c r="A303" t="s">
        <v>171</v>
      </c>
      <c r="N303" s="58">
        <v>45230</v>
      </c>
    </row>
    <row r="304" spans="1:19" x14ac:dyDescent="0.25">
      <c r="A304" t="s">
        <v>92</v>
      </c>
      <c r="B304" s="62">
        <v>45230</v>
      </c>
    </row>
    <row r="305" spans="1:18" x14ac:dyDescent="0.25">
      <c r="A305" t="s">
        <v>98</v>
      </c>
      <c r="H305" s="58">
        <v>45230</v>
      </c>
    </row>
    <row r="306" spans="1:18" x14ac:dyDescent="0.25">
      <c r="A306" t="s">
        <v>190</v>
      </c>
      <c r="D306" s="58">
        <v>45230</v>
      </c>
    </row>
    <row r="307" spans="1:18" x14ac:dyDescent="0.25">
      <c r="A307" t="s">
        <v>169</v>
      </c>
      <c r="H307" s="58">
        <v>45231</v>
      </c>
    </row>
    <row r="308" spans="1:18" x14ac:dyDescent="0.25">
      <c r="A308" t="s">
        <v>92</v>
      </c>
      <c r="D308" s="58">
        <v>45231</v>
      </c>
    </row>
    <row r="309" spans="1:18" x14ac:dyDescent="0.25">
      <c r="A309" t="s">
        <v>175</v>
      </c>
      <c r="H309" s="58">
        <v>45233</v>
      </c>
    </row>
    <row r="310" spans="1:18" x14ac:dyDescent="0.25">
      <c r="A310" t="s">
        <v>178</v>
      </c>
      <c r="P310" s="58">
        <v>45233</v>
      </c>
    </row>
    <row r="311" spans="1:18" x14ac:dyDescent="0.25">
      <c r="A311" t="s">
        <v>171</v>
      </c>
      <c r="J311" s="58">
        <v>45233</v>
      </c>
    </row>
    <row r="312" spans="1:18" x14ac:dyDescent="0.25">
      <c r="A312" t="s">
        <v>191</v>
      </c>
      <c r="R312" s="58">
        <v>45233</v>
      </c>
    </row>
    <row r="313" spans="1:18" x14ac:dyDescent="0.25">
      <c r="A313" t="s">
        <v>178</v>
      </c>
      <c r="N313" s="58">
        <v>45239</v>
      </c>
    </row>
    <row r="314" spans="1:18" x14ac:dyDescent="0.25">
      <c r="A314" t="s">
        <v>171</v>
      </c>
      <c r="F314" s="58">
        <v>45239</v>
      </c>
    </row>
    <row r="315" spans="1:18" x14ac:dyDescent="0.25">
      <c r="A315" t="s">
        <v>178</v>
      </c>
      <c r="N315" s="58">
        <v>45239</v>
      </c>
    </row>
    <row r="316" spans="1:18" x14ac:dyDescent="0.25">
      <c r="A316" t="s">
        <v>171</v>
      </c>
      <c r="F316" s="58">
        <v>45240</v>
      </c>
    </row>
    <row r="317" spans="1:18" x14ac:dyDescent="0.25">
      <c r="A317" t="s">
        <v>178</v>
      </c>
      <c r="N317" s="58">
        <v>45240</v>
      </c>
    </row>
    <row r="318" spans="1:18" x14ac:dyDescent="0.25">
      <c r="A318" t="s">
        <v>175</v>
      </c>
      <c r="K318" s="58">
        <v>45240</v>
      </c>
    </row>
    <row r="319" spans="1:18" x14ac:dyDescent="0.25">
      <c r="A319" t="s">
        <v>90</v>
      </c>
      <c r="H319" s="58">
        <v>45240</v>
      </c>
    </row>
    <row r="320" spans="1:18" x14ac:dyDescent="0.25">
      <c r="A320" t="s">
        <v>191</v>
      </c>
      <c r="R320" s="58">
        <v>45240</v>
      </c>
    </row>
    <row r="321" spans="1:16" x14ac:dyDescent="0.25">
      <c r="A321" t="s">
        <v>175</v>
      </c>
      <c r="J321" s="58">
        <v>45243</v>
      </c>
    </row>
    <row r="322" spans="1:16" x14ac:dyDescent="0.25">
      <c r="A322" t="s">
        <v>171</v>
      </c>
      <c r="J322" s="58">
        <v>45244</v>
      </c>
    </row>
    <row r="323" spans="1:16" x14ac:dyDescent="0.25">
      <c r="A323" t="s">
        <v>192</v>
      </c>
      <c r="F323" s="58">
        <v>45244</v>
      </c>
    </row>
    <row r="324" spans="1:16" x14ac:dyDescent="0.25">
      <c r="A324" t="s">
        <v>92</v>
      </c>
      <c r="N324" s="58">
        <v>45244</v>
      </c>
    </row>
    <row r="325" spans="1:16" x14ac:dyDescent="0.25">
      <c r="A325" t="s">
        <v>83</v>
      </c>
      <c r="H325" s="58">
        <v>45244</v>
      </c>
    </row>
    <row r="326" spans="1:16" x14ac:dyDescent="0.25">
      <c r="A326" t="s">
        <v>92</v>
      </c>
      <c r="D326" s="58">
        <v>45245</v>
      </c>
    </row>
    <row r="327" spans="1:16" x14ac:dyDescent="0.25">
      <c r="A327" t="s">
        <v>171</v>
      </c>
      <c r="H327" s="58">
        <v>45245</v>
      </c>
    </row>
    <row r="328" spans="1:16" x14ac:dyDescent="0.25">
      <c r="A328" t="s">
        <v>190</v>
      </c>
      <c r="D328" s="58">
        <v>45246</v>
      </c>
    </row>
    <row r="329" spans="1:16" x14ac:dyDescent="0.25">
      <c r="A329" t="s">
        <v>171</v>
      </c>
      <c r="H329" s="58">
        <v>45246</v>
      </c>
    </row>
    <row r="330" spans="1:16" x14ac:dyDescent="0.25">
      <c r="A330" t="s">
        <v>178</v>
      </c>
      <c r="N330" s="58">
        <v>45246</v>
      </c>
    </row>
    <row r="331" spans="1:16" x14ac:dyDescent="0.25">
      <c r="A331" t="s">
        <v>192</v>
      </c>
      <c r="J331" s="58">
        <v>45246</v>
      </c>
    </row>
    <row r="332" spans="1:16" x14ac:dyDescent="0.25">
      <c r="A332" t="s">
        <v>90</v>
      </c>
      <c r="F332" s="58">
        <v>45246</v>
      </c>
    </row>
    <row r="333" spans="1:16" x14ac:dyDescent="0.25">
      <c r="A333" t="s">
        <v>171</v>
      </c>
      <c r="F333" s="58">
        <v>45247</v>
      </c>
    </row>
    <row r="334" spans="1:16" x14ac:dyDescent="0.25">
      <c r="A334" t="s">
        <v>169</v>
      </c>
      <c r="J334" s="58">
        <v>45247</v>
      </c>
    </row>
    <row r="335" spans="1:16" x14ac:dyDescent="0.25">
      <c r="A335" t="s">
        <v>123</v>
      </c>
      <c r="N335" s="58">
        <v>45247</v>
      </c>
    </row>
    <row r="336" spans="1:16" x14ac:dyDescent="0.25">
      <c r="A336" t="s">
        <v>178</v>
      </c>
      <c r="P336" s="58">
        <v>45247</v>
      </c>
    </row>
    <row r="337" spans="1:19" x14ac:dyDescent="0.25">
      <c r="A337" t="s">
        <v>98</v>
      </c>
      <c r="L337" s="58">
        <v>45247</v>
      </c>
    </row>
    <row r="338" spans="1:19" x14ac:dyDescent="0.25">
      <c r="A338" t="s">
        <v>171</v>
      </c>
      <c r="H338" s="58">
        <v>45247</v>
      </c>
    </row>
    <row r="339" spans="1:19" x14ac:dyDescent="0.25">
      <c r="A339" t="s">
        <v>191</v>
      </c>
      <c r="R339" s="58">
        <v>45247</v>
      </c>
      <c r="S339" t="s">
        <v>197</v>
      </c>
    </row>
    <row r="340" spans="1:19" x14ac:dyDescent="0.25">
      <c r="A340" t="s">
        <v>90</v>
      </c>
      <c r="H340" s="58">
        <v>45252</v>
      </c>
    </row>
    <row r="341" spans="1:19" x14ac:dyDescent="0.25">
      <c r="A341" t="s">
        <v>193</v>
      </c>
      <c r="D341" s="58">
        <v>45252</v>
      </c>
    </row>
    <row r="342" spans="1:19" x14ac:dyDescent="0.25">
      <c r="A342" t="s">
        <v>178</v>
      </c>
      <c r="N342" s="58">
        <v>45253</v>
      </c>
    </row>
    <row r="343" spans="1:19" x14ac:dyDescent="0.25">
      <c r="A343" t="s">
        <v>123</v>
      </c>
      <c r="D343" s="58">
        <v>45253</v>
      </c>
    </row>
    <row r="344" spans="1:19" x14ac:dyDescent="0.25">
      <c r="A344" t="s">
        <v>171</v>
      </c>
      <c r="J344" s="58">
        <v>45253</v>
      </c>
    </row>
    <row r="345" spans="1:19" x14ac:dyDescent="0.25">
      <c r="A345" t="s">
        <v>90</v>
      </c>
      <c r="P345" s="58">
        <v>45253</v>
      </c>
    </row>
    <row r="346" spans="1:19" ht="18.75" x14ac:dyDescent="0.3">
      <c r="A346" s="113" t="s">
        <v>194</v>
      </c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</row>
    <row r="347" spans="1:19" x14ac:dyDescent="0.25">
      <c r="A347" t="s">
        <v>171</v>
      </c>
      <c r="H347" s="58">
        <v>45254</v>
      </c>
    </row>
    <row r="348" spans="1:19" x14ac:dyDescent="0.25">
      <c r="A348" t="s">
        <v>193</v>
      </c>
      <c r="P348" s="58">
        <v>45254</v>
      </c>
    </row>
    <row r="349" spans="1:19" x14ac:dyDescent="0.25">
      <c r="A349" t="s">
        <v>123</v>
      </c>
      <c r="D349" s="58">
        <v>45254</v>
      </c>
    </row>
    <row r="350" spans="1:19" x14ac:dyDescent="0.25">
      <c r="A350" t="s">
        <v>98</v>
      </c>
      <c r="B350" s="62">
        <v>45254</v>
      </c>
    </row>
    <row r="351" spans="1:19" x14ac:dyDescent="0.25">
      <c r="A351" t="s">
        <v>83</v>
      </c>
      <c r="B351" s="62">
        <v>45257</v>
      </c>
    </row>
    <row r="352" spans="1:19" x14ac:dyDescent="0.25">
      <c r="A352" t="s">
        <v>170</v>
      </c>
      <c r="N352" s="58">
        <v>45257</v>
      </c>
    </row>
    <row r="353" spans="1:19" x14ac:dyDescent="0.25">
      <c r="A353" t="s">
        <v>171</v>
      </c>
      <c r="J353" s="58">
        <v>45258</v>
      </c>
    </row>
    <row r="354" spans="1:19" x14ac:dyDescent="0.25">
      <c r="A354" t="s">
        <v>178</v>
      </c>
      <c r="L354" s="58">
        <v>45258</v>
      </c>
    </row>
    <row r="355" spans="1:19" x14ac:dyDescent="0.25">
      <c r="A355" t="s">
        <v>171</v>
      </c>
      <c r="H355" s="58">
        <v>45259</v>
      </c>
    </row>
    <row r="356" spans="1:19" x14ac:dyDescent="0.25">
      <c r="A356" t="s">
        <v>83</v>
      </c>
      <c r="D356" s="58">
        <v>45259</v>
      </c>
    </row>
    <row r="357" spans="1:19" x14ac:dyDescent="0.25">
      <c r="A357" t="s">
        <v>192</v>
      </c>
      <c r="N357" s="58">
        <v>45259</v>
      </c>
    </row>
    <row r="358" spans="1:19" x14ac:dyDescent="0.25">
      <c r="A358" t="s">
        <v>114</v>
      </c>
      <c r="R358" s="58">
        <v>45259</v>
      </c>
    </row>
    <row r="359" spans="1:19" x14ac:dyDescent="0.25">
      <c r="A359" t="s">
        <v>178</v>
      </c>
      <c r="P359" s="58">
        <v>45260</v>
      </c>
    </row>
    <row r="360" spans="1:19" x14ac:dyDescent="0.25">
      <c r="A360" t="s">
        <v>90</v>
      </c>
      <c r="J360" s="58">
        <v>45260</v>
      </c>
      <c r="K360" s="65" t="s">
        <v>195</v>
      </c>
      <c r="L360" s="65"/>
      <c r="M360" s="65"/>
    </row>
    <row r="361" spans="1:19" x14ac:dyDescent="0.25">
      <c r="A361" t="s">
        <v>190</v>
      </c>
      <c r="D361" s="58">
        <v>45260</v>
      </c>
    </row>
    <row r="362" spans="1:19" x14ac:dyDescent="0.25">
      <c r="A362" t="s">
        <v>171</v>
      </c>
      <c r="L362" s="58">
        <v>45260</v>
      </c>
    </row>
    <row r="363" spans="1:19" x14ac:dyDescent="0.25">
      <c r="A363" t="s">
        <v>92</v>
      </c>
      <c r="B363" s="62">
        <v>45260</v>
      </c>
    </row>
    <row r="364" spans="1:19" x14ac:dyDescent="0.25">
      <c r="A364" t="s">
        <v>83</v>
      </c>
      <c r="H364" s="58">
        <v>45260</v>
      </c>
    </row>
    <row r="365" spans="1:19" x14ac:dyDescent="0.25">
      <c r="A365" t="s">
        <v>175</v>
      </c>
      <c r="P365" s="58">
        <v>45260</v>
      </c>
    </row>
    <row r="366" spans="1:19" x14ac:dyDescent="0.25">
      <c r="A366" t="s">
        <v>90</v>
      </c>
      <c r="N366" s="58">
        <v>45261</v>
      </c>
    </row>
    <row r="367" spans="1:19" x14ac:dyDescent="0.25">
      <c r="A367" t="s">
        <v>93</v>
      </c>
      <c r="R367" s="58">
        <v>45261</v>
      </c>
      <c r="S367" t="s">
        <v>196</v>
      </c>
    </row>
    <row r="368" spans="1:19" x14ac:dyDescent="0.25">
      <c r="A368" t="s">
        <v>178</v>
      </c>
      <c r="N368" s="58">
        <v>45264</v>
      </c>
    </row>
    <row r="369" spans="1:19" x14ac:dyDescent="0.25">
      <c r="A369" t="s">
        <v>83</v>
      </c>
      <c r="D369" s="58">
        <v>45264</v>
      </c>
    </row>
    <row r="370" spans="1:19" x14ac:dyDescent="0.25">
      <c r="A370" t="s">
        <v>178</v>
      </c>
      <c r="P370" s="58">
        <v>45265</v>
      </c>
    </row>
    <row r="371" spans="1:19" x14ac:dyDescent="0.25">
      <c r="A371" t="s">
        <v>123</v>
      </c>
      <c r="B371" s="62">
        <v>45265</v>
      </c>
    </row>
    <row r="372" spans="1:19" x14ac:dyDescent="0.25">
      <c r="A372" t="s">
        <v>171</v>
      </c>
      <c r="J372" s="58">
        <v>45265</v>
      </c>
    </row>
    <row r="373" spans="1:19" x14ac:dyDescent="0.25">
      <c r="A373" t="s">
        <v>178</v>
      </c>
      <c r="H373" s="58">
        <v>45266</v>
      </c>
    </row>
    <row r="374" spans="1:19" x14ac:dyDescent="0.25">
      <c r="A374" t="s">
        <v>98</v>
      </c>
      <c r="H374" s="58"/>
      <c r="P374" s="58">
        <v>45267</v>
      </c>
    </row>
    <row r="375" spans="1:19" x14ac:dyDescent="0.25">
      <c r="A375" t="s">
        <v>83</v>
      </c>
      <c r="D375" s="58">
        <v>45267</v>
      </c>
      <c r="H375" s="58"/>
    </row>
    <row r="376" spans="1:19" x14ac:dyDescent="0.25">
      <c r="A376" t="s">
        <v>175</v>
      </c>
      <c r="H376" s="58"/>
      <c r="P376" s="58">
        <v>45267</v>
      </c>
    </row>
    <row r="377" spans="1:19" x14ac:dyDescent="0.25">
      <c r="A377" t="s">
        <v>191</v>
      </c>
      <c r="R377" s="58">
        <v>45268</v>
      </c>
      <c r="S377" t="s">
        <v>196</v>
      </c>
    </row>
    <row r="378" spans="1:19" x14ac:dyDescent="0.25">
      <c r="A378" t="s">
        <v>171</v>
      </c>
      <c r="P378" s="58">
        <v>45271</v>
      </c>
      <c r="Q378" s="65" t="s">
        <v>198</v>
      </c>
      <c r="R378" s="65"/>
    </row>
    <row r="379" spans="1:19" x14ac:dyDescent="0.25">
      <c r="A379" t="s">
        <v>83</v>
      </c>
      <c r="B379" s="62">
        <v>45271</v>
      </c>
    </row>
    <row r="380" spans="1:19" x14ac:dyDescent="0.25">
      <c r="A380" t="s">
        <v>171</v>
      </c>
      <c r="N380" s="58">
        <v>45271</v>
      </c>
    </row>
    <row r="381" spans="1:19" x14ac:dyDescent="0.25">
      <c r="A381" t="s">
        <v>178</v>
      </c>
      <c r="N381" s="58">
        <v>45272</v>
      </c>
    </row>
    <row r="382" spans="1:19" x14ac:dyDescent="0.25">
      <c r="A382" t="s">
        <v>171</v>
      </c>
      <c r="J382" s="58">
        <v>45273</v>
      </c>
    </row>
    <row r="383" spans="1:19" x14ac:dyDescent="0.25">
      <c r="A383" t="s">
        <v>170</v>
      </c>
      <c r="N383" s="58">
        <v>45274</v>
      </c>
    </row>
    <row r="384" spans="1:19" x14ac:dyDescent="0.25">
      <c r="A384" t="s">
        <v>83</v>
      </c>
      <c r="B384" s="62">
        <v>45274</v>
      </c>
    </row>
    <row r="385" spans="1:16" x14ac:dyDescent="0.25">
      <c r="A385" t="s">
        <v>178</v>
      </c>
      <c r="B385" s="62">
        <v>45275</v>
      </c>
    </row>
    <row r="386" spans="1:16" x14ac:dyDescent="0.25">
      <c r="A386" t="s">
        <v>193</v>
      </c>
      <c r="D386" s="58">
        <v>45275</v>
      </c>
    </row>
    <row r="387" spans="1:16" x14ac:dyDescent="0.25">
      <c r="A387" t="s">
        <v>90</v>
      </c>
      <c r="N387" s="58">
        <v>45275</v>
      </c>
    </row>
    <row r="388" spans="1:16" x14ac:dyDescent="0.25">
      <c r="A388" t="s">
        <v>192</v>
      </c>
      <c r="F388" s="58">
        <v>45275</v>
      </c>
    </row>
    <row r="389" spans="1:16" x14ac:dyDescent="0.25">
      <c r="A389" t="s">
        <v>123</v>
      </c>
      <c r="B389" s="62">
        <v>45275</v>
      </c>
    </row>
    <row r="390" spans="1:16" x14ac:dyDescent="0.25">
      <c r="A390" t="s">
        <v>90</v>
      </c>
      <c r="H390" s="58">
        <v>45278</v>
      </c>
    </row>
    <row r="391" spans="1:16" x14ac:dyDescent="0.25">
      <c r="A391" t="s">
        <v>190</v>
      </c>
      <c r="J391" s="58">
        <v>45278</v>
      </c>
    </row>
    <row r="392" spans="1:16" x14ac:dyDescent="0.25">
      <c r="A392" t="s">
        <v>98</v>
      </c>
      <c r="J392" s="58">
        <v>45279</v>
      </c>
    </row>
    <row r="393" spans="1:16" x14ac:dyDescent="0.25">
      <c r="A393" t="s">
        <v>193</v>
      </c>
      <c r="P393" s="58">
        <v>45279</v>
      </c>
    </row>
    <row r="394" spans="1:16" x14ac:dyDescent="0.25">
      <c r="A394" t="s">
        <v>90</v>
      </c>
      <c r="F394" s="58">
        <v>45279</v>
      </c>
    </row>
    <row r="395" spans="1:16" x14ac:dyDescent="0.25">
      <c r="A395" t="s">
        <v>178</v>
      </c>
      <c r="B395" s="62">
        <v>45280</v>
      </c>
    </row>
    <row r="396" spans="1:16" x14ac:dyDescent="0.25">
      <c r="A396" t="s">
        <v>175</v>
      </c>
      <c r="N396" s="58">
        <v>45280</v>
      </c>
    </row>
    <row r="397" spans="1:16" x14ac:dyDescent="0.25">
      <c r="A397" t="s">
        <v>199</v>
      </c>
      <c r="B397" s="62">
        <v>45281</v>
      </c>
    </row>
    <row r="398" spans="1:16" x14ac:dyDescent="0.25">
      <c r="A398" t="s">
        <v>171</v>
      </c>
      <c r="F398" s="58">
        <v>45281</v>
      </c>
    </row>
    <row r="399" spans="1:16" x14ac:dyDescent="0.25">
      <c r="A399" t="s">
        <v>193</v>
      </c>
      <c r="P399" s="58">
        <v>45281</v>
      </c>
    </row>
    <row r="400" spans="1:16" x14ac:dyDescent="0.25">
      <c r="A400" t="s">
        <v>178</v>
      </c>
      <c r="J400" s="58">
        <v>45282</v>
      </c>
    </row>
    <row r="401" spans="1:14" x14ac:dyDescent="0.25">
      <c r="A401" t="s">
        <v>199</v>
      </c>
      <c r="B401" s="62">
        <v>45282</v>
      </c>
    </row>
    <row r="402" spans="1:14" x14ac:dyDescent="0.25">
      <c r="A402" t="s">
        <v>123</v>
      </c>
      <c r="D402" s="58">
        <v>45282</v>
      </c>
    </row>
    <row r="403" spans="1:14" x14ac:dyDescent="0.25">
      <c r="A403" t="s">
        <v>193</v>
      </c>
      <c r="H403" s="58">
        <v>45282</v>
      </c>
    </row>
    <row r="404" spans="1:14" x14ac:dyDescent="0.25">
      <c r="A404" t="s">
        <v>90</v>
      </c>
      <c r="N404" s="58">
        <v>45282</v>
      </c>
    </row>
    <row r="405" spans="1:14" x14ac:dyDescent="0.25">
      <c r="A405" t="s">
        <v>83</v>
      </c>
      <c r="J405" s="58">
        <v>45282</v>
      </c>
    </row>
    <row r="406" spans="1:14" x14ac:dyDescent="0.25">
      <c r="A406" t="s">
        <v>83</v>
      </c>
      <c r="D406" s="58">
        <v>45286</v>
      </c>
    </row>
    <row r="407" spans="1:14" x14ac:dyDescent="0.25">
      <c r="A407" t="s">
        <v>123</v>
      </c>
      <c r="N407" s="58">
        <v>45286</v>
      </c>
    </row>
    <row r="408" spans="1:14" x14ac:dyDescent="0.25">
      <c r="A408" t="s">
        <v>193</v>
      </c>
      <c r="F408" s="58">
        <v>45286</v>
      </c>
    </row>
    <row r="409" spans="1:14" x14ac:dyDescent="0.25">
      <c r="A409" t="s">
        <v>90</v>
      </c>
      <c r="B409" s="62">
        <v>45287</v>
      </c>
    </row>
    <row r="410" spans="1:14" x14ac:dyDescent="0.25">
      <c r="A410" t="s">
        <v>83</v>
      </c>
      <c r="D410" s="58">
        <v>45287</v>
      </c>
    </row>
    <row r="411" spans="1:14" x14ac:dyDescent="0.25">
      <c r="A411" t="s">
        <v>90</v>
      </c>
      <c r="D411" s="58">
        <v>45287</v>
      </c>
    </row>
    <row r="412" spans="1:14" x14ac:dyDescent="0.25">
      <c r="A412" t="s">
        <v>200</v>
      </c>
      <c r="B412" s="62">
        <v>45288</v>
      </c>
    </row>
    <row r="413" spans="1:14" x14ac:dyDescent="0.25">
      <c r="A413" t="s">
        <v>90</v>
      </c>
      <c r="F413" s="58">
        <v>45288</v>
      </c>
    </row>
    <row r="414" spans="1:14" x14ac:dyDescent="0.25">
      <c r="A414" t="s">
        <v>193</v>
      </c>
      <c r="D414" s="58">
        <v>45288</v>
      </c>
    </row>
    <row r="415" spans="1:14" x14ac:dyDescent="0.25">
      <c r="A415" t="s">
        <v>171</v>
      </c>
      <c r="N415" s="58">
        <v>45288</v>
      </c>
    </row>
    <row r="416" spans="1:14" x14ac:dyDescent="0.25">
      <c r="A416" t="s">
        <v>83</v>
      </c>
      <c r="D416" s="58">
        <v>45289</v>
      </c>
    </row>
    <row r="417" spans="1:20" x14ac:dyDescent="0.25">
      <c r="A417" t="s">
        <v>171</v>
      </c>
      <c r="N417" s="58">
        <v>45289</v>
      </c>
    </row>
    <row r="418" spans="1:20" x14ac:dyDescent="0.25">
      <c r="A418" t="s">
        <v>203</v>
      </c>
      <c r="B418" s="62">
        <v>45289</v>
      </c>
    </row>
    <row r="419" spans="1:20" x14ac:dyDescent="0.25">
      <c r="A419" t="s">
        <v>193</v>
      </c>
      <c r="P419" s="58">
        <v>45289</v>
      </c>
    </row>
    <row r="420" spans="1:20" x14ac:dyDescent="0.25">
      <c r="A420" t="s">
        <v>90</v>
      </c>
      <c r="F420" s="58">
        <v>45289</v>
      </c>
    </row>
    <row r="421" spans="1:20" ht="18.75" x14ac:dyDescent="0.3">
      <c r="A421" s="113" t="s">
        <v>208</v>
      </c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</row>
    <row r="422" spans="1:20" x14ac:dyDescent="0.25">
      <c r="A422" t="s">
        <v>201</v>
      </c>
      <c r="P422" s="58">
        <v>45294</v>
      </c>
    </row>
    <row r="423" spans="1:20" x14ac:dyDescent="0.25">
      <c r="A423" t="s">
        <v>83</v>
      </c>
      <c r="B423" s="62">
        <v>45296</v>
      </c>
      <c r="F423" s="77">
        <v>45310</v>
      </c>
      <c r="G423" s="65" t="s">
        <v>202</v>
      </c>
      <c r="H423" s="65"/>
      <c r="J423" s="77">
        <v>45302</v>
      </c>
      <c r="K423" s="65" t="s">
        <v>202</v>
      </c>
      <c r="L423" s="65"/>
    </row>
    <row r="424" spans="1:20" x14ac:dyDescent="0.25">
      <c r="A424" t="s">
        <v>178</v>
      </c>
      <c r="D424" s="58">
        <v>45299</v>
      </c>
    </row>
    <row r="425" spans="1:20" x14ac:dyDescent="0.25">
      <c r="A425" t="s">
        <v>199</v>
      </c>
      <c r="F425" s="58">
        <v>45303</v>
      </c>
    </row>
    <row r="426" spans="1:20" x14ac:dyDescent="0.25">
      <c r="A426" t="s">
        <v>83</v>
      </c>
      <c r="H426" s="58">
        <v>45310</v>
      </c>
    </row>
    <row r="427" spans="1:20" x14ac:dyDescent="0.25">
      <c r="A427" t="s">
        <v>203</v>
      </c>
      <c r="J427" s="58">
        <v>45310</v>
      </c>
    </row>
    <row r="428" spans="1:20" x14ac:dyDescent="0.25">
      <c r="A428" t="s">
        <v>191</v>
      </c>
      <c r="L428" s="65" t="s">
        <v>204</v>
      </c>
      <c r="M428" s="65"/>
      <c r="N428" s="65"/>
      <c r="R428" s="58">
        <v>45310</v>
      </c>
      <c r="T428" t="s">
        <v>205</v>
      </c>
    </row>
    <row r="429" spans="1:20" x14ac:dyDescent="0.25">
      <c r="A429" t="s">
        <v>193</v>
      </c>
      <c r="L429" s="58">
        <v>45313</v>
      </c>
    </row>
    <row r="430" spans="1:20" x14ac:dyDescent="0.25">
      <c r="A430" t="s">
        <v>83</v>
      </c>
      <c r="N430" s="58">
        <v>44950</v>
      </c>
    </row>
    <row r="431" spans="1:20" x14ac:dyDescent="0.25">
      <c r="A431" t="s">
        <v>123</v>
      </c>
      <c r="P431" s="58">
        <v>45316</v>
      </c>
    </row>
    <row r="432" spans="1:20" x14ac:dyDescent="0.25">
      <c r="A432" t="s">
        <v>199</v>
      </c>
      <c r="B432" s="62">
        <v>45316</v>
      </c>
    </row>
    <row r="433" spans="1:16" x14ac:dyDescent="0.25">
      <c r="A433" t="s">
        <v>193</v>
      </c>
      <c r="D433" s="58">
        <v>45316</v>
      </c>
    </row>
    <row r="434" spans="1:16" x14ac:dyDescent="0.25">
      <c r="A434" t="s">
        <v>178</v>
      </c>
      <c r="F434" s="58">
        <v>45316</v>
      </c>
    </row>
    <row r="435" spans="1:16" x14ac:dyDescent="0.25">
      <c r="A435" t="s">
        <v>90</v>
      </c>
      <c r="H435" s="58">
        <v>45317</v>
      </c>
      <c r="J435" s="58"/>
    </row>
    <row r="436" spans="1:16" x14ac:dyDescent="0.25">
      <c r="A436" t="s">
        <v>178</v>
      </c>
      <c r="J436" s="58">
        <v>45317</v>
      </c>
      <c r="L436" s="58"/>
    </row>
    <row r="437" spans="1:16" x14ac:dyDescent="0.25">
      <c r="A437" t="s">
        <v>206</v>
      </c>
      <c r="L437" s="58">
        <v>45320</v>
      </c>
    </row>
    <row r="438" spans="1:16" x14ac:dyDescent="0.25">
      <c r="A438" t="s">
        <v>190</v>
      </c>
      <c r="N438" s="58">
        <v>45320</v>
      </c>
    </row>
    <row r="439" spans="1:16" x14ac:dyDescent="0.25">
      <c r="A439" t="s">
        <v>193</v>
      </c>
      <c r="L439" s="58">
        <v>45321</v>
      </c>
    </row>
    <row r="440" spans="1:16" x14ac:dyDescent="0.25">
      <c r="A440" t="s">
        <v>199</v>
      </c>
      <c r="D440" s="58">
        <v>45321</v>
      </c>
    </row>
    <row r="441" spans="1:16" x14ac:dyDescent="0.25">
      <c r="A441" t="s">
        <v>171</v>
      </c>
      <c r="D441" t="s">
        <v>209</v>
      </c>
      <c r="F441" s="58">
        <v>45322</v>
      </c>
    </row>
    <row r="442" spans="1:16" x14ac:dyDescent="0.25">
      <c r="A442" t="s">
        <v>199</v>
      </c>
      <c r="H442" s="58">
        <v>45322</v>
      </c>
    </row>
    <row r="443" spans="1:16" x14ac:dyDescent="0.25">
      <c r="A443" t="s">
        <v>178</v>
      </c>
      <c r="J443" s="58">
        <v>45322</v>
      </c>
    </row>
    <row r="444" spans="1:16" x14ac:dyDescent="0.25">
      <c r="A444" t="s">
        <v>123</v>
      </c>
      <c r="N444" s="58">
        <v>45322</v>
      </c>
    </row>
    <row r="445" spans="1:16" x14ac:dyDescent="0.25">
      <c r="A445" t="s">
        <v>83</v>
      </c>
      <c r="P445" s="58">
        <v>45322</v>
      </c>
    </row>
    <row r="446" spans="1:16" x14ac:dyDescent="0.25">
      <c r="A446" t="s">
        <v>83</v>
      </c>
      <c r="B446" s="62">
        <v>45328</v>
      </c>
    </row>
    <row r="447" spans="1:16" x14ac:dyDescent="0.25">
      <c r="A447" t="s">
        <v>190</v>
      </c>
      <c r="B447" s="62">
        <v>45329</v>
      </c>
      <c r="C447" s="77" t="s">
        <v>210</v>
      </c>
      <c r="D447" s="65"/>
    </row>
    <row r="448" spans="1:16" x14ac:dyDescent="0.25">
      <c r="A448" t="s">
        <v>178</v>
      </c>
      <c r="D448" s="58">
        <v>44964</v>
      </c>
    </row>
    <row r="449" spans="1:16" x14ac:dyDescent="0.25">
      <c r="A449" t="s">
        <v>211</v>
      </c>
      <c r="F449" s="58">
        <v>44964</v>
      </c>
    </row>
    <row r="450" spans="1:16" x14ac:dyDescent="0.25">
      <c r="A450" t="s">
        <v>193</v>
      </c>
      <c r="H450" s="58">
        <v>45330</v>
      </c>
    </row>
    <row r="451" spans="1:16" x14ac:dyDescent="0.25">
      <c r="A451" t="s">
        <v>171</v>
      </c>
      <c r="J451" s="58">
        <v>45331</v>
      </c>
    </row>
    <row r="452" spans="1:16" x14ac:dyDescent="0.25">
      <c r="A452" t="s">
        <v>201</v>
      </c>
      <c r="L452" s="58">
        <v>45331</v>
      </c>
    </row>
    <row r="453" spans="1:16" x14ac:dyDescent="0.25">
      <c r="A453" t="s">
        <v>83</v>
      </c>
      <c r="N453" s="58">
        <v>45331</v>
      </c>
    </row>
    <row r="454" spans="1:16" x14ac:dyDescent="0.25">
      <c r="A454" t="s">
        <v>171</v>
      </c>
      <c r="B454" s="62">
        <v>45334</v>
      </c>
    </row>
    <row r="455" spans="1:16" x14ac:dyDescent="0.25">
      <c r="A455" t="s">
        <v>92</v>
      </c>
      <c r="D455" s="62">
        <v>45334</v>
      </c>
    </row>
    <row r="456" spans="1:16" x14ac:dyDescent="0.25">
      <c r="A456" t="s">
        <v>193</v>
      </c>
      <c r="D456" s="58">
        <v>45335</v>
      </c>
    </row>
    <row r="457" spans="1:16" x14ac:dyDescent="0.25">
      <c r="A457" t="s">
        <v>83</v>
      </c>
      <c r="F457" s="58">
        <v>45336</v>
      </c>
    </row>
    <row r="458" spans="1:16" x14ac:dyDescent="0.25">
      <c r="A458" t="s">
        <v>123</v>
      </c>
      <c r="H458" s="58">
        <v>45336</v>
      </c>
    </row>
    <row r="459" spans="1:16" x14ac:dyDescent="0.25">
      <c r="A459" t="s">
        <v>193</v>
      </c>
      <c r="J459" s="58">
        <v>45337</v>
      </c>
    </row>
    <row r="460" spans="1:16" x14ac:dyDescent="0.25">
      <c r="A460" t="s">
        <v>98</v>
      </c>
      <c r="F460" s="58">
        <v>45337</v>
      </c>
    </row>
    <row r="461" spans="1:16" x14ac:dyDescent="0.25">
      <c r="A461" t="s">
        <v>90</v>
      </c>
      <c r="B461" s="62">
        <v>45338</v>
      </c>
    </row>
    <row r="462" spans="1:16" x14ac:dyDescent="0.25">
      <c r="A462" t="s">
        <v>211</v>
      </c>
      <c r="L462" s="58">
        <v>45338</v>
      </c>
      <c r="M462" s="65" t="s">
        <v>210</v>
      </c>
      <c r="N462" s="65"/>
    </row>
    <row r="463" spans="1:16" x14ac:dyDescent="0.25">
      <c r="A463" t="s">
        <v>211</v>
      </c>
      <c r="P463" s="58">
        <v>45342</v>
      </c>
    </row>
    <row r="464" spans="1:16" x14ac:dyDescent="0.25">
      <c r="A464" t="s">
        <v>199</v>
      </c>
      <c r="B464" s="62">
        <v>45342</v>
      </c>
    </row>
    <row r="465" spans="1:16" x14ac:dyDescent="0.25">
      <c r="A465" t="s">
        <v>201</v>
      </c>
      <c r="D465" s="58">
        <v>45344</v>
      </c>
    </row>
    <row r="466" spans="1:16" x14ac:dyDescent="0.25">
      <c r="A466" t="s">
        <v>206</v>
      </c>
      <c r="F466" s="58">
        <v>45344</v>
      </c>
    </row>
    <row r="467" spans="1:16" x14ac:dyDescent="0.25">
      <c r="A467" t="s">
        <v>83</v>
      </c>
      <c r="F467" s="58"/>
      <c r="H467" s="58">
        <v>45344</v>
      </c>
    </row>
    <row r="468" spans="1:16" x14ac:dyDescent="0.25">
      <c r="A468" t="s">
        <v>206</v>
      </c>
      <c r="J468" s="58">
        <v>45345</v>
      </c>
    </row>
    <row r="469" spans="1:16" x14ac:dyDescent="0.25">
      <c r="A469" t="s">
        <v>206</v>
      </c>
      <c r="L469" s="58">
        <v>45348</v>
      </c>
    </row>
    <row r="470" spans="1:16" x14ac:dyDescent="0.25">
      <c r="A470" t="s">
        <v>193</v>
      </c>
      <c r="N470" s="58">
        <v>45349</v>
      </c>
    </row>
    <row r="471" spans="1:16" x14ac:dyDescent="0.25">
      <c r="A471" t="s">
        <v>199</v>
      </c>
      <c r="P471" s="58">
        <v>45350</v>
      </c>
    </row>
    <row r="472" spans="1:16" x14ac:dyDescent="0.25">
      <c r="A472" t="s">
        <v>90</v>
      </c>
      <c r="B472" s="62">
        <v>45350</v>
      </c>
    </row>
    <row r="473" spans="1:16" x14ac:dyDescent="0.25">
      <c r="A473" t="s">
        <v>83</v>
      </c>
      <c r="D473" s="58">
        <v>45350</v>
      </c>
    </row>
    <row r="474" spans="1:16" x14ac:dyDescent="0.25">
      <c r="A474" t="s">
        <v>178</v>
      </c>
      <c r="F474" s="58">
        <v>45351</v>
      </c>
    </row>
    <row r="475" spans="1:16" x14ac:dyDescent="0.25">
      <c r="A475" t="s">
        <v>193</v>
      </c>
      <c r="H475" s="58">
        <v>45351</v>
      </c>
    </row>
    <row r="476" spans="1:16" x14ac:dyDescent="0.25">
      <c r="A476" t="s">
        <v>90</v>
      </c>
      <c r="J476" s="58">
        <v>45351</v>
      </c>
    </row>
    <row r="477" spans="1:16" x14ac:dyDescent="0.25">
      <c r="A477" t="s">
        <v>199</v>
      </c>
      <c r="L477" s="58">
        <v>45351</v>
      </c>
    </row>
    <row r="478" spans="1:16" x14ac:dyDescent="0.25">
      <c r="A478" t="s">
        <v>211</v>
      </c>
      <c r="N478" s="58">
        <v>45351</v>
      </c>
    </row>
    <row r="479" spans="1:16" x14ac:dyDescent="0.25">
      <c r="A479" t="s">
        <v>128</v>
      </c>
      <c r="P479" s="58">
        <v>46817</v>
      </c>
    </row>
    <row r="480" spans="1:16" x14ac:dyDescent="0.25">
      <c r="A480" t="s">
        <v>199</v>
      </c>
      <c r="B480" s="62">
        <v>45358</v>
      </c>
    </row>
    <row r="481" spans="1:16" x14ac:dyDescent="0.25">
      <c r="A481" t="s">
        <v>171</v>
      </c>
      <c r="D481" s="58">
        <v>45358</v>
      </c>
    </row>
    <row r="482" spans="1:16" x14ac:dyDescent="0.25">
      <c r="A482" t="s">
        <v>83</v>
      </c>
      <c r="F482" s="58">
        <v>45359</v>
      </c>
    </row>
    <row r="483" spans="1:16" x14ac:dyDescent="0.25">
      <c r="A483" t="s">
        <v>193</v>
      </c>
      <c r="H483" s="58">
        <v>45363</v>
      </c>
    </row>
    <row r="484" spans="1:16" x14ac:dyDescent="0.25">
      <c r="A484" t="s">
        <v>203</v>
      </c>
      <c r="J484" s="58">
        <v>45364</v>
      </c>
    </row>
    <row r="485" spans="1:16" x14ac:dyDescent="0.25">
      <c r="A485" t="s">
        <v>193</v>
      </c>
      <c r="L485" s="58">
        <v>45365</v>
      </c>
    </row>
    <row r="486" spans="1:16" x14ac:dyDescent="0.25">
      <c r="A486" t="s">
        <v>206</v>
      </c>
      <c r="N486" s="58">
        <v>45366</v>
      </c>
    </row>
    <row r="487" spans="1:16" x14ac:dyDescent="0.25">
      <c r="A487" t="s">
        <v>201</v>
      </c>
      <c r="P487" s="58">
        <v>45366</v>
      </c>
    </row>
    <row r="488" spans="1:16" x14ac:dyDescent="0.25">
      <c r="A488" t="s">
        <v>199</v>
      </c>
      <c r="P488" s="58">
        <v>45366</v>
      </c>
    </row>
    <row r="489" spans="1:16" x14ac:dyDescent="0.25">
      <c r="A489" t="s">
        <v>193</v>
      </c>
      <c r="B489" s="62">
        <v>45366</v>
      </c>
    </row>
    <row r="490" spans="1:16" x14ac:dyDescent="0.25">
      <c r="A490" t="s">
        <v>193</v>
      </c>
      <c r="J490" s="58">
        <v>45371</v>
      </c>
    </row>
    <row r="491" spans="1:16" x14ac:dyDescent="0.25">
      <c r="A491" t="s">
        <v>178</v>
      </c>
      <c r="D491" s="58">
        <v>45372</v>
      </c>
      <c r="I491" s="65" t="s">
        <v>214</v>
      </c>
      <c r="J491" s="65"/>
    </row>
    <row r="492" spans="1:16" x14ac:dyDescent="0.25">
      <c r="A492" t="s">
        <v>83</v>
      </c>
      <c r="F492" s="58">
        <v>45372</v>
      </c>
    </row>
    <row r="493" spans="1:16" x14ac:dyDescent="0.25">
      <c r="A493" t="s">
        <v>193</v>
      </c>
      <c r="D493" s="58"/>
      <c r="J493" s="58">
        <v>45372</v>
      </c>
    </row>
    <row r="494" spans="1:16" x14ac:dyDescent="0.25">
      <c r="A494" t="s">
        <v>199</v>
      </c>
      <c r="H494" s="58">
        <v>45372</v>
      </c>
    </row>
    <row r="495" spans="1:16" x14ac:dyDescent="0.25">
      <c r="A495" t="s">
        <v>90</v>
      </c>
      <c r="B495" s="62">
        <v>45373</v>
      </c>
      <c r="J495" s="58">
        <v>45373</v>
      </c>
      <c r="K495" s="65" t="s">
        <v>215</v>
      </c>
      <c r="L495" s="65"/>
    </row>
    <row r="496" spans="1:16" x14ac:dyDescent="0.25">
      <c r="A496" t="s">
        <v>203</v>
      </c>
      <c r="J496" s="58">
        <v>45376</v>
      </c>
    </row>
    <row r="497" spans="1:19" x14ac:dyDescent="0.25">
      <c r="A497" t="s">
        <v>211</v>
      </c>
      <c r="L497" s="58">
        <v>45376</v>
      </c>
    </row>
    <row r="498" spans="1:19" x14ac:dyDescent="0.25">
      <c r="A498" t="s">
        <v>193</v>
      </c>
      <c r="N498" s="58">
        <v>45376</v>
      </c>
    </row>
    <row r="499" spans="1:19" x14ac:dyDescent="0.25">
      <c r="A499" t="s">
        <v>171</v>
      </c>
      <c r="P499" s="58">
        <v>45377</v>
      </c>
    </row>
    <row r="500" spans="1:19" x14ac:dyDescent="0.25">
      <c r="A500" t="s">
        <v>178</v>
      </c>
      <c r="P500" s="58">
        <v>45378</v>
      </c>
    </row>
    <row r="501" spans="1:19" x14ac:dyDescent="0.25">
      <c r="A501" t="s">
        <v>211</v>
      </c>
      <c r="B501" s="62">
        <v>45378</v>
      </c>
    </row>
    <row r="502" spans="1:19" x14ac:dyDescent="0.25">
      <c r="A502" t="s">
        <v>193</v>
      </c>
      <c r="H502" s="58">
        <v>45378</v>
      </c>
    </row>
    <row r="503" spans="1:19" x14ac:dyDescent="0.25">
      <c r="A503" t="s">
        <v>203</v>
      </c>
      <c r="J503" s="58">
        <v>45378</v>
      </c>
    </row>
    <row r="504" spans="1:19" ht="18.75" x14ac:dyDescent="0.3">
      <c r="A504" s="113" t="s">
        <v>224</v>
      </c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</row>
    <row r="505" spans="1:19" x14ac:dyDescent="0.25">
      <c r="A505" t="s">
        <v>90</v>
      </c>
      <c r="F505" s="58">
        <v>45384</v>
      </c>
    </row>
    <row r="506" spans="1:19" x14ac:dyDescent="0.25">
      <c r="A506" t="s">
        <v>193</v>
      </c>
      <c r="H506" s="58">
        <v>45385</v>
      </c>
    </row>
    <row r="507" spans="1:19" x14ac:dyDescent="0.25">
      <c r="A507" t="s">
        <v>128</v>
      </c>
      <c r="H507" s="58">
        <v>45386</v>
      </c>
    </row>
    <row r="508" spans="1:19" x14ac:dyDescent="0.25">
      <c r="A508" t="s">
        <v>211</v>
      </c>
      <c r="L508" s="58">
        <v>45386</v>
      </c>
    </row>
    <row r="509" spans="1:19" x14ac:dyDescent="0.25">
      <c r="A509" t="s">
        <v>199</v>
      </c>
      <c r="D509" s="58">
        <v>45386</v>
      </c>
    </row>
    <row r="510" spans="1:19" x14ac:dyDescent="0.25">
      <c r="A510" t="s">
        <v>199</v>
      </c>
      <c r="H510" s="58">
        <v>45386</v>
      </c>
    </row>
    <row r="511" spans="1:19" x14ac:dyDescent="0.25">
      <c r="A511" t="s">
        <v>199</v>
      </c>
      <c r="N511" s="58">
        <v>45387</v>
      </c>
    </row>
    <row r="512" spans="1:19" x14ac:dyDescent="0.25">
      <c r="A512" t="s">
        <v>171</v>
      </c>
      <c r="B512" s="62">
        <v>45392</v>
      </c>
    </row>
    <row r="513" spans="1:16" x14ac:dyDescent="0.25">
      <c r="A513" t="s">
        <v>193</v>
      </c>
      <c r="D513" s="58">
        <v>45392</v>
      </c>
    </row>
    <row r="514" spans="1:16" x14ac:dyDescent="0.25">
      <c r="A514" t="s">
        <v>83</v>
      </c>
      <c r="F514" s="58">
        <v>45393</v>
      </c>
    </row>
    <row r="515" spans="1:16" x14ac:dyDescent="0.25">
      <c r="A515" t="s">
        <v>90</v>
      </c>
      <c r="H515" s="58">
        <v>45393</v>
      </c>
    </row>
    <row r="516" spans="1:16" x14ac:dyDescent="0.25">
      <c r="A516" t="s">
        <v>123</v>
      </c>
      <c r="J516" s="58">
        <v>45393</v>
      </c>
    </row>
    <row r="517" spans="1:16" x14ac:dyDescent="0.25">
      <c r="A517" t="s">
        <v>217</v>
      </c>
      <c r="L517" s="58">
        <v>45393</v>
      </c>
    </row>
    <row r="518" spans="1:16" x14ac:dyDescent="0.25">
      <c r="A518" t="s">
        <v>203</v>
      </c>
      <c r="N518" s="58">
        <v>45394</v>
      </c>
    </row>
    <row r="519" spans="1:16" x14ac:dyDescent="0.25">
      <c r="A519" t="s">
        <v>211</v>
      </c>
      <c r="P519" s="58">
        <v>45394</v>
      </c>
    </row>
    <row r="520" spans="1:16" x14ac:dyDescent="0.25">
      <c r="A520" t="s">
        <v>201</v>
      </c>
      <c r="B520" s="62">
        <v>45394</v>
      </c>
    </row>
    <row r="521" spans="1:16" x14ac:dyDescent="0.25">
      <c r="A521" t="s">
        <v>218</v>
      </c>
      <c r="D521" s="58">
        <v>45394</v>
      </c>
    </row>
    <row r="522" spans="1:16" x14ac:dyDescent="0.25">
      <c r="A522" t="s">
        <v>211</v>
      </c>
      <c r="F522" s="58">
        <v>45398</v>
      </c>
    </row>
    <row r="523" spans="1:16" x14ac:dyDescent="0.25">
      <c r="A523" t="s">
        <v>218</v>
      </c>
      <c r="H523" s="58">
        <v>45400</v>
      </c>
    </row>
    <row r="524" spans="1:16" x14ac:dyDescent="0.25">
      <c r="A524" t="s">
        <v>217</v>
      </c>
      <c r="J524" s="58">
        <v>45400</v>
      </c>
    </row>
    <row r="525" spans="1:16" x14ac:dyDescent="0.25">
      <c r="A525" t="s">
        <v>216</v>
      </c>
      <c r="L525" s="58">
        <v>45400</v>
      </c>
    </row>
    <row r="526" spans="1:16" x14ac:dyDescent="0.25">
      <c r="A526" t="s">
        <v>199</v>
      </c>
      <c r="P526" s="58">
        <v>45401</v>
      </c>
    </row>
    <row r="527" spans="1:16" x14ac:dyDescent="0.25">
      <c r="A527" t="s">
        <v>217</v>
      </c>
      <c r="B527" s="62">
        <v>45404</v>
      </c>
    </row>
    <row r="528" spans="1:16" x14ac:dyDescent="0.25">
      <c r="A528" t="s">
        <v>220</v>
      </c>
      <c r="D528" s="58">
        <v>45405</v>
      </c>
    </row>
    <row r="529" spans="1:19" x14ac:dyDescent="0.25">
      <c r="A529" t="s">
        <v>171</v>
      </c>
      <c r="F529" s="58">
        <v>45406</v>
      </c>
    </row>
    <row r="530" spans="1:19" x14ac:dyDescent="0.25">
      <c r="A530" t="s">
        <v>222</v>
      </c>
      <c r="H530" s="58">
        <v>45406</v>
      </c>
    </row>
    <row r="531" spans="1:19" x14ac:dyDescent="0.25">
      <c r="A531" t="s">
        <v>206</v>
      </c>
      <c r="J531" s="58">
        <v>45407</v>
      </c>
    </row>
    <row r="532" spans="1:19" x14ac:dyDescent="0.25">
      <c r="A532" t="s">
        <v>171</v>
      </c>
      <c r="L532" s="58">
        <v>45411</v>
      </c>
    </row>
    <row r="533" spans="1:19" x14ac:dyDescent="0.25">
      <c r="A533" t="s">
        <v>217</v>
      </c>
      <c r="N533" s="58">
        <v>45411</v>
      </c>
    </row>
    <row r="534" spans="1:19" x14ac:dyDescent="0.25">
      <c r="A534" t="s">
        <v>211</v>
      </c>
      <c r="P534" s="58">
        <v>45412</v>
      </c>
    </row>
    <row r="535" spans="1:19" x14ac:dyDescent="0.25">
      <c r="A535" t="s">
        <v>218</v>
      </c>
      <c r="B535" s="62">
        <v>45412</v>
      </c>
    </row>
    <row r="536" spans="1:19" x14ac:dyDescent="0.25">
      <c r="A536" t="s">
        <v>199</v>
      </c>
      <c r="D536" s="58">
        <v>45412</v>
      </c>
    </row>
    <row r="537" spans="1:19" ht="18.75" x14ac:dyDescent="0.3">
      <c r="A537" s="113" t="s">
        <v>223</v>
      </c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</row>
    <row r="538" spans="1:19" x14ac:dyDescent="0.25">
      <c r="A538" t="s">
        <v>218</v>
      </c>
      <c r="F538" s="58">
        <v>45414</v>
      </c>
    </row>
    <row r="539" spans="1:19" x14ac:dyDescent="0.25">
      <c r="A539" t="s">
        <v>203</v>
      </c>
      <c r="H539" s="58">
        <v>45419</v>
      </c>
    </row>
    <row r="540" spans="1:19" x14ac:dyDescent="0.25">
      <c r="A540" t="s">
        <v>171</v>
      </c>
      <c r="J540" s="58">
        <v>45420</v>
      </c>
    </row>
    <row r="541" spans="1:19" x14ac:dyDescent="0.25">
      <c r="A541" t="s">
        <v>216</v>
      </c>
      <c r="L541" s="58">
        <v>45420</v>
      </c>
    </row>
    <row r="542" spans="1:19" x14ac:dyDescent="0.25">
      <c r="A542" t="s">
        <v>83</v>
      </c>
      <c r="N542" s="58">
        <v>45421</v>
      </c>
    </row>
    <row r="543" spans="1:19" x14ac:dyDescent="0.25">
      <c r="A543" t="s">
        <v>178</v>
      </c>
      <c r="P543" s="58">
        <v>45421</v>
      </c>
    </row>
    <row r="544" spans="1:19" x14ac:dyDescent="0.25">
      <c r="A544" t="s">
        <v>193</v>
      </c>
      <c r="B544" s="62">
        <v>45421</v>
      </c>
    </row>
    <row r="545" spans="1:16" x14ac:dyDescent="0.25">
      <c r="A545" t="s">
        <v>218</v>
      </c>
      <c r="D545" s="58">
        <v>45422</v>
      </c>
    </row>
    <row r="546" spans="1:16" x14ac:dyDescent="0.25">
      <c r="A546" t="s">
        <v>218</v>
      </c>
      <c r="F546" s="58">
        <v>45425</v>
      </c>
    </row>
    <row r="547" spans="1:16" x14ac:dyDescent="0.25">
      <c r="A547" t="s">
        <v>220</v>
      </c>
      <c r="H547" s="58">
        <v>45427</v>
      </c>
    </row>
    <row r="548" spans="1:16" x14ac:dyDescent="0.25">
      <c r="A548" t="s">
        <v>193</v>
      </c>
      <c r="J548" s="58">
        <v>45428</v>
      </c>
    </row>
    <row r="549" spans="1:16" x14ac:dyDescent="0.25">
      <c r="A549" t="s">
        <v>217</v>
      </c>
      <c r="L549" s="58">
        <v>45428</v>
      </c>
    </row>
    <row r="550" spans="1:16" x14ac:dyDescent="0.25">
      <c r="A550" t="s">
        <v>218</v>
      </c>
      <c r="N550" s="58">
        <v>45429</v>
      </c>
    </row>
    <row r="551" spans="1:16" x14ac:dyDescent="0.25">
      <c r="A551" t="s">
        <v>203</v>
      </c>
      <c r="P551" s="58">
        <v>45432</v>
      </c>
    </row>
    <row r="552" spans="1:16" x14ac:dyDescent="0.25">
      <c r="A552" t="s">
        <v>199</v>
      </c>
      <c r="B552" s="62">
        <v>45435</v>
      </c>
    </row>
    <row r="553" spans="1:16" x14ac:dyDescent="0.25">
      <c r="A553" t="s">
        <v>218</v>
      </c>
      <c r="D553" s="58">
        <v>45435</v>
      </c>
    </row>
    <row r="554" spans="1:16" x14ac:dyDescent="0.25">
      <c r="A554" t="s">
        <v>193</v>
      </c>
      <c r="F554" s="58">
        <v>45436</v>
      </c>
    </row>
    <row r="555" spans="1:16" x14ac:dyDescent="0.25">
      <c r="A555" t="s">
        <v>171</v>
      </c>
      <c r="H555" s="58">
        <v>45439</v>
      </c>
    </row>
    <row r="556" spans="1:16" x14ac:dyDescent="0.25">
      <c r="A556" t="s">
        <v>83</v>
      </c>
      <c r="J556" s="58">
        <v>45440</v>
      </c>
    </row>
    <row r="557" spans="1:16" x14ac:dyDescent="0.25">
      <c r="A557" t="s">
        <v>216</v>
      </c>
      <c r="L557" s="58">
        <v>45440</v>
      </c>
    </row>
    <row r="558" spans="1:16" x14ac:dyDescent="0.25">
      <c r="A558" t="s">
        <v>199</v>
      </c>
      <c r="N558" s="58">
        <v>45440</v>
      </c>
    </row>
    <row r="559" spans="1:16" x14ac:dyDescent="0.25">
      <c r="A559" t="s">
        <v>193</v>
      </c>
      <c r="P559" s="58">
        <v>45440</v>
      </c>
    </row>
    <row r="560" spans="1:16" x14ac:dyDescent="0.25">
      <c r="A560" t="s">
        <v>218</v>
      </c>
      <c r="B560" s="62">
        <v>45441</v>
      </c>
    </row>
    <row r="561" spans="1:19" x14ac:dyDescent="0.25">
      <c r="A561" t="s">
        <v>90</v>
      </c>
      <c r="D561" s="58">
        <v>45441</v>
      </c>
    </row>
    <row r="562" spans="1:19" x14ac:dyDescent="0.25">
      <c r="A562" t="s">
        <v>193</v>
      </c>
      <c r="F562" s="58">
        <v>45442</v>
      </c>
      <c r="G562" s="65" t="s">
        <v>198</v>
      </c>
      <c r="H562" s="65"/>
      <c r="I562" s="65"/>
    </row>
    <row r="563" spans="1:19" x14ac:dyDescent="0.25">
      <c r="A563" t="s">
        <v>218</v>
      </c>
      <c r="H563" s="58">
        <v>45442</v>
      </c>
    </row>
    <row r="564" spans="1:19" x14ac:dyDescent="0.25">
      <c r="A564" t="s">
        <v>178</v>
      </c>
      <c r="J564" s="58">
        <v>45443</v>
      </c>
    </row>
    <row r="565" spans="1:19" x14ac:dyDescent="0.25">
      <c r="A565" t="s">
        <v>171</v>
      </c>
      <c r="L565" s="58">
        <v>45443</v>
      </c>
    </row>
    <row r="566" spans="1:19" x14ac:dyDescent="0.25">
      <c r="A566" t="s">
        <v>218</v>
      </c>
      <c r="N566" s="58">
        <v>45443</v>
      </c>
    </row>
    <row r="567" spans="1:19" x14ac:dyDescent="0.25">
      <c r="A567" t="s">
        <v>199</v>
      </c>
      <c r="P567" s="58">
        <v>45443</v>
      </c>
    </row>
    <row r="568" spans="1:19" x14ac:dyDescent="0.25">
      <c r="A568" s="58" t="s">
        <v>206</v>
      </c>
      <c r="B568" s="62">
        <v>45446</v>
      </c>
    </row>
    <row r="569" spans="1:19" x14ac:dyDescent="0.25">
      <c r="A569" t="s">
        <v>171</v>
      </c>
      <c r="D569" s="58">
        <v>45446</v>
      </c>
    </row>
    <row r="570" spans="1:19" x14ac:dyDescent="0.25">
      <c r="A570" t="s">
        <v>83</v>
      </c>
      <c r="F570" s="58">
        <v>45446</v>
      </c>
    </row>
    <row r="571" spans="1:19" ht="18.75" x14ac:dyDescent="0.3">
      <c r="A571" s="113" t="s">
        <v>229</v>
      </c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</row>
    <row r="572" spans="1:19" x14ac:dyDescent="0.25">
      <c r="A572" t="s">
        <v>206</v>
      </c>
      <c r="L572" s="58">
        <v>45453</v>
      </c>
      <c r="M572" s="65" t="s">
        <v>198</v>
      </c>
      <c r="N572" s="65"/>
      <c r="O572" s="65"/>
    </row>
    <row r="573" spans="1:19" x14ac:dyDescent="0.25">
      <c r="A573" t="s">
        <v>203</v>
      </c>
      <c r="N573" s="58">
        <v>45453</v>
      </c>
      <c r="O573" t="s">
        <v>225</v>
      </c>
    </row>
    <row r="574" spans="1:19" x14ac:dyDescent="0.25">
      <c r="A574" t="s">
        <v>206</v>
      </c>
      <c r="P574" s="58">
        <v>45454</v>
      </c>
    </row>
    <row r="575" spans="1:19" x14ac:dyDescent="0.25">
      <c r="A575" t="s">
        <v>90</v>
      </c>
      <c r="F575" s="58">
        <v>45456</v>
      </c>
    </row>
    <row r="576" spans="1:19" x14ac:dyDescent="0.25">
      <c r="A576" t="s">
        <v>206</v>
      </c>
      <c r="P576" s="58">
        <v>45456</v>
      </c>
    </row>
    <row r="577" spans="1:19" x14ac:dyDescent="0.25">
      <c r="A577" t="s">
        <v>193</v>
      </c>
      <c r="B577" s="62">
        <v>45456</v>
      </c>
    </row>
    <row r="578" spans="1:19" x14ac:dyDescent="0.25">
      <c r="A578" t="s">
        <v>193</v>
      </c>
      <c r="B578" s="62">
        <v>45457</v>
      </c>
    </row>
    <row r="579" spans="1:19" x14ac:dyDescent="0.25">
      <c r="A579" t="s">
        <v>193</v>
      </c>
      <c r="B579" s="62">
        <v>45457</v>
      </c>
    </row>
    <row r="580" spans="1:19" x14ac:dyDescent="0.25">
      <c r="A580" t="s">
        <v>181</v>
      </c>
      <c r="R580" s="58">
        <v>45456</v>
      </c>
      <c r="S580" t="s">
        <v>226</v>
      </c>
    </row>
    <row r="581" spans="1:19" x14ac:dyDescent="0.25">
      <c r="A581" t="s">
        <v>171</v>
      </c>
      <c r="D581" s="58">
        <v>45460</v>
      </c>
    </row>
    <row r="582" spans="1:19" x14ac:dyDescent="0.25">
      <c r="A582" t="s">
        <v>222</v>
      </c>
      <c r="H582" s="58">
        <v>45460</v>
      </c>
    </row>
    <row r="583" spans="1:19" x14ac:dyDescent="0.25">
      <c r="A583" t="s">
        <v>193</v>
      </c>
      <c r="J583" s="58">
        <v>45461</v>
      </c>
    </row>
    <row r="584" spans="1:19" x14ac:dyDescent="0.25">
      <c r="A584" t="s">
        <v>193</v>
      </c>
      <c r="J584" s="58">
        <v>45462</v>
      </c>
    </row>
    <row r="585" spans="1:19" x14ac:dyDescent="0.25">
      <c r="A585" t="s">
        <v>203</v>
      </c>
      <c r="L585" s="58">
        <v>45463</v>
      </c>
    </row>
    <row r="586" spans="1:19" x14ac:dyDescent="0.25">
      <c r="A586" t="s">
        <v>193</v>
      </c>
      <c r="N586" s="58">
        <v>45463</v>
      </c>
    </row>
    <row r="587" spans="1:19" x14ac:dyDescent="0.25">
      <c r="A587" t="s">
        <v>227</v>
      </c>
      <c r="P587" s="58">
        <v>45464</v>
      </c>
    </row>
    <row r="588" spans="1:19" x14ac:dyDescent="0.25">
      <c r="A588" t="s">
        <v>206</v>
      </c>
      <c r="B588" s="62">
        <v>45464</v>
      </c>
    </row>
    <row r="589" spans="1:19" x14ac:dyDescent="0.25">
      <c r="A589" t="s">
        <v>203</v>
      </c>
      <c r="D589" s="58">
        <v>45467</v>
      </c>
    </row>
    <row r="590" spans="1:19" x14ac:dyDescent="0.25">
      <c r="A590" t="s">
        <v>171</v>
      </c>
      <c r="F590" s="58">
        <v>45468</v>
      </c>
    </row>
    <row r="591" spans="1:19" x14ac:dyDescent="0.25">
      <c r="A591" t="s">
        <v>171</v>
      </c>
      <c r="H591" s="58">
        <v>45469</v>
      </c>
    </row>
    <row r="592" spans="1:19" x14ac:dyDescent="0.25">
      <c r="A592" t="s">
        <v>193</v>
      </c>
      <c r="J592" s="58">
        <v>45470</v>
      </c>
    </row>
    <row r="593" spans="1:19" x14ac:dyDescent="0.25">
      <c r="A593" t="s">
        <v>199</v>
      </c>
      <c r="L593" s="58">
        <v>45470</v>
      </c>
    </row>
    <row r="594" spans="1:19" x14ac:dyDescent="0.25">
      <c r="A594" t="s">
        <v>171</v>
      </c>
      <c r="N594" s="58">
        <v>45470</v>
      </c>
    </row>
    <row r="595" spans="1:19" x14ac:dyDescent="0.25">
      <c r="A595" t="s">
        <v>83</v>
      </c>
      <c r="P595" s="58">
        <v>45470</v>
      </c>
    </row>
    <row r="596" spans="1:19" x14ac:dyDescent="0.25">
      <c r="A596" t="s">
        <v>203</v>
      </c>
      <c r="B596" s="62">
        <v>45471</v>
      </c>
    </row>
    <row r="597" spans="1:19" x14ac:dyDescent="0.25">
      <c r="A597" t="s">
        <v>171</v>
      </c>
      <c r="D597" s="58">
        <v>45471</v>
      </c>
    </row>
    <row r="598" spans="1:19" x14ac:dyDescent="0.25">
      <c r="A598" t="s">
        <v>199</v>
      </c>
      <c r="F598" s="58">
        <v>45471</v>
      </c>
    </row>
    <row r="599" spans="1:19" x14ac:dyDescent="0.25">
      <c r="A599" t="s">
        <v>90</v>
      </c>
      <c r="H599" s="58">
        <v>45471</v>
      </c>
    </row>
    <row r="600" spans="1:19" x14ac:dyDescent="0.25">
      <c r="A600" t="s">
        <v>193</v>
      </c>
      <c r="J600" s="58">
        <v>45471</v>
      </c>
    </row>
    <row r="601" spans="1:19" ht="18.75" x14ac:dyDescent="0.3">
      <c r="A601" s="113" t="s">
        <v>228</v>
      </c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</row>
    <row r="602" spans="1:19" x14ac:dyDescent="0.25">
      <c r="A602" t="s">
        <v>206</v>
      </c>
      <c r="L602" s="58">
        <v>45476</v>
      </c>
    </row>
    <row r="603" spans="1:19" x14ac:dyDescent="0.25">
      <c r="A603" t="s">
        <v>201</v>
      </c>
      <c r="N603" s="58">
        <v>45477</v>
      </c>
    </row>
    <row r="604" spans="1:19" x14ac:dyDescent="0.25">
      <c r="A604" t="s">
        <v>230</v>
      </c>
      <c r="P604" s="58">
        <v>45478</v>
      </c>
    </row>
    <row r="605" spans="1:19" x14ac:dyDescent="0.25">
      <c r="A605" t="s">
        <v>193</v>
      </c>
      <c r="B605" s="62">
        <v>45478</v>
      </c>
    </row>
    <row r="606" spans="1:19" x14ac:dyDescent="0.25">
      <c r="A606" t="s">
        <v>232</v>
      </c>
      <c r="D606" s="58">
        <v>45478</v>
      </c>
    </row>
    <row r="607" spans="1:19" x14ac:dyDescent="0.25">
      <c r="A607" t="s">
        <v>199</v>
      </c>
      <c r="F607" s="58">
        <v>45481</v>
      </c>
      <c r="G607" s="65" t="s">
        <v>233</v>
      </c>
      <c r="H607" s="65"/>
      <c r="I607" s="65"/>
    </row>
    <row r="608" spans="1:19" x14ac:dyDescent="0.25">
      <c r="A608" t="s">
        <v>203</v>
      </c>
      <c r="H608" s="58">
        <v>45481</v>
      </c>
    </row>
    <row r="609" spans="1:19" x14ac:dyDescent="0.25">
      <c r="A609" t="s">
        <v>193</v>
      </c>
      <c r="J609" s="58">
        <v>45482</v>
      </c>
    </row>
    <row r="610" spans="1:19" x14ac:dyDescent="0.25">
      <c r="A610" t="s">
        <v>232</v>
      </c>
      <c r="L610" s="58">
        <v>45484</v>
      </c>
    </row>
    <row r="611" spans="1:19" x14ac:dyDescent="0.25">
      <c r="A611" t="s">
        <v>128</v>
      </c>
      <c r="N611" s="58">
        <v>45485</v>
      </c>
    </row>
    <row r="612" spans="1:19" x14ac:dyDescent="0.25">
      <c r="A612" t="s">
        <v>232</v>
      </c>
      <c r="P612" s="58">
        <v>45485</v>
      </c>
      <c r="Q612" s="65" t="s">
        <v>234</v>
      </c>
      <c r="R612" s="65"/>
      <c r="S612" s="65"/>
    </row>
    <row r="613" spans="1:19" x14ac:dyDescent="0.25">
      <c r="A613" t="s">
        <v>90</v>
      </c>
      <c r="B613" s="62">
        <v>45485</v>
      </c>
    </row>
    <row r="614" spans="1:19" x14ac:dyDescent="0.25">
      <c r="A614" t="s">
        <v>222</v>
      </c>
      <c r="D614" s="58">
        <v>45489</v>
      </c>
    </row>
    <row r="615" spans="1:19" x14ac:dyDescent="0.25">
      <c r="A615" t="s">
        <v>203</v>
      </c>
      <c r="F615" s="58">
        <v>45491</v>
      </c>
    </row>
    <row r="616" spans="1:19" x14ac:dyDescent="0.25">
      <c r="A616" t="s">
        <v>232</v>
      </c>
      <c r="H616" s="58">
        <v>45491</v>
      </c>
    </row>
    <row r="617" spans="1:19" x14ac:dyDescent="0.25">
      <c r="A617" t="s">
        <v>171</v>
      </c>
      <c r="J617" s="58">
        <v>45491</v>
      </c>
    </row>
    <row r="618" spans="1:19" x14ac:dyDescent="0.25">
      <c r="A618" t="s">
        <v>193</v>
      </c>
      <c r="L618" s="58">
        <v>45491</v>
      </c>
    </row>
    <row r="619" spans="1:19" x14ac:dyDescent="0.25">
      <c r="A619" t="s">
        <v>236</v>
      </c>
      <c r="N619" s="58">
        <v>45491</v>
      </c>
    </row>
    <row r="620" spans="1:19" x14ac:dyDescent="0.25">
      <c r="A620" t="s">
        <v>201</v>
      </c>
      <c r="P620" s="58">
        <v>45491</v>
      </c>
    </row>
    <row r="621" spans="1:19" x14ac:dyDescent="0.25">
      <c r="A621" t="s">
        <v>236</v>
      </c>
      <c r="B621" s="62">
        <v>45492</v>
      </c>
    </row>
    <row r="622" spans="1:19" x14ac:dyDescent="0.25">
      <c r="A622" t="s">
        <v>199</v>
      </c>
      <c r="D622" s="58">
        <v>45492</v>
      </c>
    </row>
    <row r="623" spans="1:19" x14ac:dyDescent="0.25">
      <c r="A623" t="s">
        <v>193</v>
      </c>
      <c r="F623" s="58">
        <v>45492</v>
      </c>
    </row>
    <row r="624" spans="1:19" x14ac:dyDescent="0.25">
      <c r="A624" t="s">
        <v>171</v>
      </c>
      <c r="F624" s="58"/>
      <c r="H624" s="58">
        <v>45492</v>
      </c>
    </row>
    <row r="625" spans="1:19" x14ac:dyDescent="0.25">
      <c r="A625" t="s">
        <v>90</v>
      </c>
      <c r="J625" s="58">
        <v>45495</v>
      </c>
    </row>
    <row r="626" spans="1:19" x14ac:dyDescent="0.25">
      <c r="A626" t="s">
        <v>232</v>
      </c>
      <c r="L626" s="58">
        <v>45495</v>
      </c>
    </row>
    <row r="627" spans="1:19" x14ac:dyDescent="0.25">
      <c r="A627" t="s">
        <v>193</v>
      </c>
      <c r="N627" s="58">
        <v>45499</v>
      </c>
    </row>
    <row r="628" spans="1:19" x14ac:dyDescent="0.25">
      <c r="A628" t="s">
        <v>128</v>
      </c>
      <c r="P628" s="58">
        <v>45499</v>
      </c>
    </row>
    <row r="629" spans="1:19" x14ac:dyDescent="0.25">
      <c r="A629" t="s">
        <v>203</v>
      </c>
      <c r="B629" s="62">
        <v>45499</v>
      </c>
    </row>
    <row r="630" spans="1:19" x14ac:dyDescent="0.25">
      <c r="A630" t="s">
        <v>178</v>
      </c>
      <c r="D630" s="58">
        <v>45499</v>
      </c>
    </row>
    <row r="631" spans="1:19" x14ac:dyDescent="0.25">
      <c r="A631" t="s">
        <v>206</v>
      </c>
      <c r="F631" s="58">
        <v>45499</v>
      </c>
    </row>
    <row r="632" spans="1:19" x14ac:dyDescent="0.25">
      <c r="A632" t="s">
        <v>171</v>
      </c>
      <c r="H632" s="58">
        <v>45499</v>
      </c>
      <c r="J632" s="58">
        <v>45502</v>
      </c>
      <c r="K632" s="65" t="s">
        <v>237</v>
      </c>
      <c r="L632" s="65"/>
    </row>
    <row r="633" spans="1:19" ht="18.75" x14ac:dyDescent="0.3">
      <c r="A633" s="113" t="s">
        <v>238</v>
      </c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</row>
    <row r="634" spans="1:19" x14ac:dyDescent="0.25">
      <c r="A634" t="s">
        <v>178</v>
      </c>
      <c r="L634" s="58">
        <v>45502</v>
      </c>
    </row>
    <row r="635" spans="1:19" x14ac:dyDescent="0.25">
      <c r="A635" t="s">
        <v>199</v>
      </c>
      <c r="D635" s="58">
        <v>45502</v>
      </c>
    </row>
    <row r="636" spans="1:19" x14ac:dyDescent="0.25">
      <c r="A636" t="s">
        <v>206</v>
      </c>
      <c r="F636" s="58">
        <v>45502</v>
      </c>
    </row>
    <row r="637" spans="1:19" x14ac:dyDescent="0.25">
      <c r="A637" t="s">
        <v>193</v>
      </c>
      <c r="L637" s="58">
        <v>45503</v>
      </c>
    </row>
    <row r="638" spans="1:19" x14ac:dyDescent="0.25">
      <c r="A638" t="s">
        <v>203</v>
      </c>
      <c r="N638" s="58">
        <v>45504</v>
      </c>
    </row>
    <row r="639" spans="1:19" x14ac:dyDescent="0.25">
      <c r="A639" t="s">
        <v>171</v>
      </c>
      <c r="P639" s="58">
        <v>45504</v>
      </c>
    </row>
    <row r="640" spans="1:19" x14ac:dyDescent="0.25">
      <c r="A640" t="s">
        <v>83</v>
      </c>
      <c r="B640" s="62">
        <v>45504</v>
      </c>
    </row>
    <row r="641" spans="1:16" x14ac:dyDescent="0.25">
      <c r="A641" t="s">
        <v>199</v>
      </c>
      <c r="D641" s="58">
        <v>45504</v>
      </c>
    </row>
    <row r="642" spans="1:16" x14ac:dyDescent="0.25">
      <c r="A642" t="s">
        <v>193</v>
      </c>
      <c r="F642" s="58">
        <v>45504</v>
      </c>
    </row>
    <row r="643" spans="1:16" x14ac:dyDescent="0.25">
      <c r="A643" t="s">
        <v>236</v>
      </c>
      <c r="H643" s="58">
        <v>45504</v>
      </c>
    </row>
    <row r="644" spans="1:16" x14ac:dyDescent="0.25">
      <c r="A644" t="s">
        <v>171</v>
      </c>
      <c r="J644" s="58">
        <v>45506</v>
      </c>
    </row>
    <row r="645" spans="1:16" x14ac:dyDescent="0.25">
      <c r="A645" t="s">
        <v>193</v>
      </c>
      <c r="L645" s="58">
        <v>45506</v>
      </c>
    </row>
    <row r="646" spans="1:16" x14ac:dyDescent="0.25">
      <c r="A646" t="s">
        <v>178</v>
      </c>
      <c r="N646" s="58">
        <v>45506</v>
      </c>
    </row>
    <row r="647" spans="1:16" x14ac:dyDescent="0.25">
      <c r="A647" t="s">
        <v>83</v>
      </c>
      <c r="P647" s="58">
        <v>45506</v>
      </c>
    </row>
    <row r="648" spans="1:16" x14ac:dyDescent="0.25">
      <c r="A648" t="s">
        <v>90</v>
      </c>
      <c r="B648" s="62">
        <v>45506</v>
      </c>
    </row>
    <row r="649" spans="1:16" x14ac:dyDescent="0.25">
      <c r="A649" t="s">
        <v>90</v>
      </c>
      <c r="D649" s="58">
        <v>45510</v>
      </c>
      <c r="E649" s="65" t="s">
        <v>234</v>
      </c>
      <c r="F649" s="65"/>
      <c r="G649" s="65"/>
    </row>
    <row r="650" spans="1:16" x14ac:dyDescent="0.25">
      <c r="A650" t="s">
        <v>222</v>
      </c>
      <c r="F650" s="58">
        <v>45509</v>
      </c>
    </row>
    <row r="651" spans="1:16" x14ac:dyDescent="0.25">
      <c r="A651" t="s">
        <v>199</v>
      </c>
      <c r="H651" s="58">
        <v>45511</v>
      </c>
    </row>
    <row r="652" spans="1:16" x14ac:dyDescent="0.25">
      <c r="A652" t="s">
        <v>193</v>
      </c>
      <c r="J652" s="58">
        <v>45511</v>
      </c>
    </row>
    <row r="653" spans="1:16" x14ac:dyDescent="0.25">
      <c r="A653" t="s">
        <v>232</v>
      </c>
      <c r="L653" s="58"/>
      <c r="P653" s="58">
        <v>45512</v>
      </c>
    </row>
    <row r="654" spans="1:16" x14ac:dyDescent="0.25">
      <c r="A654" t="s">
        <v>232</v>
      </c>
      <c r="L654" s="58">
        <v>45513</v>
      </c>
    </row>
    <row r="655" spans="1:16" x14ac:dyDescent="0.25">
      <c r="A655" t="s">
        <v>199</v>
      </c>
      <c r="N655" s="58">
        <v>45516</v>
      </c>
    </row>
    <row r="656" spans="1:16" x14ac:dyDescent="0.25">
      <c r="A656" t="s">
        <v>232</v>
      </c>
      <c r="B656" s="62">
        <v>45516</v>
      </c>
    </row>
    <row r="657" spans="1:16" x14ac:dyDescent="0.25">
      <c r="A657" t="s">
        <v>232</v>
      </c>
      <c r="D657" s="58">
        <v>45519</v>
      </c>
    </row>
    <row r="658" spans="1:16" x14ac:dyDescent="0.25">
      <c r="A658" t="s">
        <v>193</v>
      </c>
      <c r="F658" s="58">
        <v>45519</v>
      </c>
    </row>
    <row r="659" spans="1:16" x14ac:dyDescent="0.25">
      <c r="A659" t="s">
        <v>232</v>
      </c>
      <c r="H659" s="58">
        <v>45520</v>
      </c>
    </row>
    <row r="660" spans="1:16" x14ac:dyDescent="0.25">
      <c r="A660" t="s">
        <v>90</v>
      </c>
      <c r="J660" s="58">
        <v>45520</v>
      </c>
    </row>
    <row r="661" spans="1:16" x14ac:dyDescent="0.25">
      <c r="A661" t="s">
        <v>201</v>
      </c>
      <c r="L661" s="58">
        <v>45520</v>
      </c>
    </row>
    <row r="662" spans="1:16" x14ac:dyDescent="0.25">
      <c r="A662" t="s">
        <v>222</v>
      </c>
      <c r="N662" s="58">
        <v>45520</v>
      </c>
    </row>
    <row r="663" spans="1:16" x14ac:dyDescent="0.25">
      <c r="A663" t="s">
        <v>171</v>
      </c>
      <c r="P663" s="58">
        <v>45520</v>
      </c>
    </row>
    <row r="664" spans="1:16" x14ac:dyDescent="0.25">
      <c r="A664" t="s">
        <v>199</v>
      </c>
      <c r="B664" s="62">
        <v>45520</v>
      </c>
      <c r="P664" s="58"/>
    </row>
    <row r="665" spans="1:16" x14ac:dyDescent="0.25">
      <c r="A665" t="s">
        <v>193</v>
      </c>
      <c r="D665" s="58">
        <v>45523</v>
      </c>
    </row>
    <row r="666" spans="1:16" x14ac:dyDescent="0.25">
      <c r="A666" t="s">
        <v>222</v>
      </c>
      <c r="F666" s="58">
        <v>45523</v>
      </c>
    </row>
    <row r="667" spans="1:16" x14ac:dyDescent="0.25">
      <c r="A667" t="s">
        <v>199</v>
      </c>
      <c r="H667" s="58">
        <v>45523</v>
      </c>
    </row>
    <row r="668" spans="1:16" x14ac:dyDescent="0.25">
      <c r="A668" t="s">
        <v>216</v>
      </c>
      <c r="J668" s="58">
        <v>45524</v>
      </c>
    </row>
    <row r="669" spans="1:16" x14ac:dyDescent="0.25">
      <c r="A669" t="s">
        <v>199</v>
      </c>
      <c r="F669" s="58">
        <v>45525</v>
      </c>
    </row>
    <row r="670" spans="1:16" x14ac:dyDescent="0.25">
      <c r="A670" t="s">
        <v>230</v>
      </c>
      <c r="H670" s="58">
        <v>45525</v>
      </c>
    </row>
    <row r="671" spans="1:16" x14ac:dyDescent="0.25">
      <c r="A671" t="s">
        <v>193</v>
      </c>
      <c r="J671" s="58">
        <v>45527</v>
      </c>
    </row>
    <row r="672" spans="1:16" x14ac:dyDescent="0.25">
      <c r="A672" t="s">
        <v>171</v>
      </c>
      <c r="B672" s="62">
        <v>45530</v>
      </c>
    </row>
    <row r="673" spans="1:19" x14ac:dyDescent="0.25">
      <c r="A673" t="s">
        <v>203</v>
      </c>
      <c r="D673" s="58">
        <v>45531</v>
      </c>
    </row>
    <row r="674" spans="1:19" ht="18.75" x14ac:dyDescent="0.3">
      <c r="A674" s="113" t="s">
        <v>242</v>
      </c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</row>
    <row r="675" spans="1:19" x14ac:dyDescent="0.25">
      <c r="A675" t="s">
        <v>193</v>
      </c>
      <c r="F675" s="58">
        <v>45532</v>
      </c>
    </row>
    <row r="676" spans="1:19" x14ac:dyDescent="0.25">
      <c r="A676" t="s">
        <v>90</v>
      </c>
      <c r="J676" s="58">
        <v>45532</v>
      </c>
    </row>
    <row r="677" spans="1:19" x14ac:dyDescent="0.25">
      <c r="A677" t="s">
        <v>236</v>
      </c>
      <c r="D677" s="58">
        <v>45532</v>
      </c>
    </row>
    <row r="678" spans="1:19" x14ac:dyDescent="0.25">
      <c r="A678" t="s">
        <v>220</v>
      </c>
      <c r="B678" s="62">
        <v>45532</v>
      </c>
    </row>
    <row r="679" spans="1:19" x14ac:dyDescent="0.25">
      <c r="A679" t="s">
        <v>203</v>
      </c>
      <c r="H679" s="58">
        <v>45533</v>
      </c>
    </row>
    <row r="680" spans="1:19" x14ac:dyDescent="0.25">
      <c r="A680" t="s">
        <v>193</v>
      </c>
      <c r="L680" s="58">
        <v>45533</v>
      </c>
    </row>
    <row r="681" spans="1:19" x14ac:dyDescent="0.25">
      <c r="A681" t="s">
        <v>216</v>
      </c>
      <c r="P681" s="58">
        <v>45533</v>
      </c>
    </row>
    <row r="682" spans="1:19" x14ac:dyDescent="0.25">
      <c r="A682" t="s">
        <v>171</v>
      </c>
      <c r="N682" s="58">
        <v>45533</v>
      </c>
    </row>
    <row r="683" spans="1:19" x14ac:dyDescent="0.25">
      <c r="A683" t="s">
        <v>230</v>
      </c>
      <c r="F683" s="58">
        <v>45533</v>
      </c>
    </row>
    <row r="684" spans="1:19" x14ac:dyDescent="0.25">
      <c r="A684" t="s">
        <v>193</v>
      </c>
      <c r="B684" s="62">
        <v>45534</v>
      </c>
    </row>
    <row r="685" spans="1:19" x14ac:dyDescent="0.25">
      <c r="A685" t="s">
        <v>236</v>
      </c>
      <c r="J685" s="58">
        <v>45534</v>
      </c>
    </row>
    <row r="686" spans="1:19" x14ac:dyDescent="0.25">
      <c r="A686" t="s">
        <v>232</v>
      </c>
      <c r="J686" s="58"/>
      <c r="L686" s="58">
        <v>45534</v>
      </c>
    </row>
    <row r="687" spans="1:19" x14ac:dyDescent="0.25">
      <c r="A687" t="s">
        <v>201</v>
      </c>
      <c r="F687" s="58">
        <v>45534</v>
      </c>
    </row>
    <row r="688" spans="1:19" x14ac:dyDescent="0.25">
      <c r="A688" t="s">
        <v>243</v>
      </c>
      <c r="N688" s="58">
        <v>45534</v>
      </c>
    </row>
    <row r="689" spans="1:19" x14ac:dyDescent="0.25">
      <c r="A689" t="s">
        <v>203</v>
      </c>
      <c r="D689" s="58">
        <v>45534</v>
      </c>
    </row>
    <row r="690" spans="1:19" x14ac:dyDescent="0.25">
      <c r="A690" t="s">
        <v>236</v>
      </c>
      <c r="J690" s="58">
        <v>45534</v>
      </c>
    </row>
    <row r="691" spans="1:19" x14ac:dyDescent="0.25">
      <c r="A691" t="s">
        <v>232</v>
      </c>
      <c r="H691" s="58">
        <v>45534</v>
      </c>
      <c r="I691" s="65" t="s">
        <v>210</v>
      </c>
      <c r="J691" s="65"/>
    </row>
    <row r="692" spans="1:19" x14ac:dyDescent="0.25">
      <c r="A692" t="s">
        <v>230</v>
      </c>
      <c r="F692" s="58">
        <v>45537</v>
      </c>
    </row>
    <row r="693" spans="1:19" x14ac:dyDescent="0.25">
      <c r="A693" t="s">
        <v>203</v>
      </c>
      <c r="B693" s="62">
        <v>45537</v>
      </c>
    </row>
    <row r="694" spans="1:19" x14ac:dyDescent="0.25">
      <c r="A694" t="s">
        <v>193</v>
      </c>
      <c r="D694" s="58">
        <v>45538</v>
      </c>
    </row>
    <row r="695" spans="1:19" x14ac:dyDescent="0.25">
      <c r="A695" t="s">
        <v>192</v>
      </c>
      <c r="R695" s="58">
        <v>45538</v>
      </c>
      <c r="S695" t="s">
        <v>244</v>
      </c>
    </row>
    <row r="696" spans="1:19" x14ac:dyDescent="0.25">
      <c r="A696" t="s">
        <v>93</v>
      </c>
      <c r="R696" s="58">
        <v>45538</v>
      </c>
      <c r="S696" t="s">
        <v>245</v>
      </c>
    </row>
    <row r="697" spans="1:19" x14ac:dyDescent="0.25">
      <c r="A697" t="s">
        <v>230</v>
      </c>
      <c r="H697" s="58">
        <v>45539</v>
      </c>
    </row>
    <row r="698" spans="1:19" x14ac:dyDescent="0.25">
      <c r="A698" t="s">
        <v>171</v>
      </c>
      <c r="J698" s="58">
        <v>45539</v>
      </c>
    </row>
    <row r="699" spans="1:19" x14ac:dyDescent="0.25">
      <c r="A699" t="s">
        <v>90</v>
      </c>
      <c r="L699" s="58">
        <v>45539</v>
      </c>
    </row>
    <row r="700" spans="1:19" x14ac:dyDescent="0.25">
      <c r="A700" t="s">
        <v>236</v>
      </c>
      <c r="P700" s="58">
        <v>45539</v>
      </c>
    </row>
    <row r="701" spans="1:19" x14ac:dyDescent="0.25">
      <c r="A701" t="s">
        <v>216</v>
      </c>
      <c r="B701" s="62">
        <v>45539</v>
      </c>
      <c r="F701" s="65" t="s">
        <v>237</v>
      </c>
      <c r="G701" s="65"/>
    </row>
    <row r="702" spans="1:19" x14ac:dyDescent="0.25">
      <c r="A702" t="s">
        <v>230</v>
      </c>
      <c r="D702" s="58">
        <v>45539</v>
      </c>
    </row>
    <row r="703" spans="1:19" x14ac:dyDescent="0.25">
      <c r="A703" t="s">
        <v>203</v>
      </c>
      <c r="H703" s="58">
        <v>45540</v>
      </c>
    </row>
    <row r="704" spans="1:19" x14ac:dyDescent="0.25">
      <c r="A704" t="s">
        <v>192</v>
      </c>
      <c r="F704" s="58">
        <v>45540</v>
      </c>
    </row>
    <row r="705" spans="1:16" x14ac:dyDescent="0.25">
      <c r="A705" t="s">
        <v>193</v>
      </c>
      <c r="J705" s="58">
        <v>45540</v>
      </c>
    </row>
    <row r="706" spans="1:16" x14ac:dyDescent="0.25">
      <c r="A706" t="s">
        <v>236</v>
      </c>
      <c r="L706" s="58">
        <v>45541</v>
      </c>
    </row>
    <row r="707" spans="1:16" x14ac:dyDescent="0.25">
      <c r="A707" t="s">
        <v>203</v>
      </c>
      <c r="N707" s="58">
        <v>45541</v>
      </c>
      <c r="O707" s="65" t="s">
        <v>210</v>
      </c>
      <c r="P707" s="65"/>
    </row>
    <row r="708" spans="1:16" x14ac:dyDescent="0.25">
      <c r="A708" t="s">
        <v>232</v>
      </c>
      <c r="P708" s="58">
        <v>45545</v>
      </c>
    </row>
    <row r="709" spans="1:16" x14ac:dyDescent="0.25">
      <c r="A709" t="s">
        <v>222</v>
      </c>
      <c r="B709" s="62">
        <v>45545</v>
      </c>
    </row>
    <row r="710" spans="1:16" x14ac:dyDescent="0.25">
      <c r="A710" t="s">
        <v>90</v>
      </c>
      <c r="B710" s="62">
        <v>45546</v>
      </c>
    </row>
    <row r="711" spans="1:16" x14ac:dyDescent="0.25">
      <c r="A711" t="s">
        <v>230</v>
      </c>
      <c r="D711" s="58">
        <v>45546</v>
      </c>
    </row>
    <row r="712" spans="1:16" x14ac:dyDescent="0.25">
      <c r="A712" t="s">
        <v>203</v>
      </c>
      <c r="F712" s="58">
        <v>45547</v>
      </c>
    </row>
    <row r="713" spans="1:16" x14ac:dyDescent="0.25">
      <c r="A713" t="s">
        <v>201</v>
      </c>
      <c r="H713" s="58">
        <v>45547</v>
      </c>
    </row>
    <row r="714" spans="1:16" x14ac:dyDescent="0.25">
      <c r="A714" t="s">
        <v>192</v>
      </c>
      <c r="L714" s="58">
        <v>45547</v>
      </c>
    </row>
    <row r="715" spans="1:16" x14ac:dyDescent="0.25">
      <c r="A715" t="s">
        <v>90</v>
      </c>
      <c r="J715" s="58">
        <v>45548</v>
      </c>
    </row>
    <row r="716" spans="1:16" x14ac:dyDescent="0.25">
      <c r="A716" t="s">
        <v>178</v>
      </c>
      <c r="N716" s="58">
        <v>45548</v>
      </c>
    </row>
    <row r="717" spans="1:16" x14ac:dyDescent="0.25">
      <c r="A717" t="s">
        <v>193</v>
      </c>
      <c r="P717" s="58">
        <v>45548</v>
      </c>
    </row>
    <row r="718" spans="1:16" x14ac:dyDescent="0.25">
      <c r="A718" t="s">
        <v>203</v>
      </c>
      <c r="B718" s="62">
        <v>45548</v>
      </c>
    </row>
    <row r="719" spans="1:16" x14ac:dyDescent="0.25">
      <c r="A719" t="s">
        <v>301</v>
      </c>
      <c r="D719" s="58">
        <v>45548</v>
      </c>
    </row>
    <row r="720" spans="1:16" x14ac:dyDescent="0.25">
      <c r="A720" t="s">
        <v>232</v>
      </c>
      <c r="F720" s="58">
        <v>45554</v>
      </c>
      <c r="G720" s="78" t="s">
        <v>248</v>
      </c>
    </row>
    <row r="721" spans="1:19" x14ac:dyDescent="0.25">
      <c r="A721" t="s">
        <v>193</v>
      </c>
      <c r="H721" s="58">
        <v>45554</v>
      </c>
      <c r="I721" s="78" t="s">
        <v>247</v>
      </c>
    </row>
    <row r="722" spans="1:19" x14ac:dyDescent="0.25">
      <c r="A722" t="s">
        <v>236</v>
      </c>
      <c r="J722" s="58">
        <v>45554</v>
      </c>
    </row>
    <row r="723" spans="1:19" x14ac:dyDescent="0.25">
      <c r="A723" t="s">
        <v>203</v>
      </c>
      <c r="L723" s="58">
        <v>45555</v>
      </c>
      <c r="M723" s="79" t="s">
        <v>249</v>
      </c>
    </row>
    <row r="724" spans="1:19" x14ac:dyDescent="0.25">
      <c r="A724" t="s">
        <v>128</v>
      </c>
      <c r="N724" s="58">
        <v>45555</v>
      </c>
      <c r="O724" s="79" t="s">
        <v>250</v>
      </c>
    </row>
    <row r="725" spans="1:19" x14ac:dyDescent="0.25">
      <c r="A725" t="s">
        <v>232</v>
      </c>
      <c r="P725" s="58">
        <v>45555</v>
      </c>
      <c r="Q725" s="79" t="s">
        <v>251</v>
      </c>
    </row>
    <row r="726" spans="1:19" x14ac:dyDescent="0.25">
      <c r="A726" t="s">
        <v>90</v>
      </c>
      <c r="B726" s="62">
        <v>45555</v>
      </c>
    </row>
    <row r="727" spans="1:19" x14ac:dyDescent="0.25">
      <c r="A727" t="s">
        <v>203</v>
      </c>
      <c r="D727" s="58">
        <v>45555</v>
      </c>
    </row>
    <row r="728" spans="1:19" x14ac:dyDescent="0.25">
      <c r="A728" t="s">
        <v>232</v>
      </c>
      <c r="F728" s="58">
        <v>45555</v>
      </c>
    </row>
    <row r="729" spans="1:19" x14ac:dyDescent="0.25">
      <c r="A729" t="s">
        <v>232</v>
      </c>
      <c r="D729" s="58">
        <v>45558</v>
      </c>
      <c r="J729" s="116" t="s">
        <v>253</v>
      </c>
      <c r="K729" s="116"/>
    </row>
    <row r="730" spans="1:19" x14ac:dyDescent="0.25">
      <c r="A730" t="s">
        <v>203</v>
      </c>
      <c r="J730" s="58">
        <v>45559</v>
      </c>
      <c r="K730" s="80" t="s">
        <v>252</v>
      </c>
    </row>
    <row r="731" spans="1:19" x14ac:dyDescent="0.25">
      <c r="A731" t="s">
        <v>193</v>
      </c>
      <c r="L731" s="58">
        <v>45560</v>
      </c>
      <c r="M731" s="81" t="s">
        <v>254</v>
      </c>
    </row>
    <row r="732" spans="1:19" x14ac:dyDescent="0.25">
      <c r="A732" t="s">
        <v>203</v>
      </c>
      <c r="N732" s="58">
        <v>45561</v>
      </c>
    </row>
    <row r="733" spans="1:19" x14ac:dyDescent="0.25">
      <c r="A733" t="s">
        <v>265</v>
      </c>
      <c r="P733" s="58">
        <v>45561</v>
      </c>
    </row>
    <row r="734" spans="1:19" x14ac:dyDescent="0.25">
      <c r="A734" t="s">
        <v>232</v>
      </c>
      <c r="B734" s="62">
        <v>45561</v>
      </c>
    </row>
    <row r="735" spans="1:19" ht="18.75" x14ac:dyDescent="0.3">
      <c r="A735" s="113" t="s">
        <v>267</v>
      </c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</row>
    <row r="736" spans="1:19" x14ac:dyDescent="0.25">
      <c r="A736" t="s">
        <v>171</v>
      </c>
      <c r="L736" s="58">
        <v>45562</v>
      </c>
    </row>
    <row r="737" spans="1:16" x14ac:dyDescent="0.25">
      <c r="A737" t="s">
        <v>236</v>
      </c>
      <c r="D737" s="58">
        <v>45562</v>
      </c>
    </row>
    <row r="738" spans="1:16" x14ac:dyDescent="0.25">
      <c r="A738" t="s">
        <v>178</v>
      </c>
      <c r="F738" s="58">
        <v>45562</v>
      </c>
    </row>
    <row r="739" spans="1:16" x14ac:dyDescent="0.25">
      <c r="A739" t="s">
        <v>90</v>
      </c>
      <c r="H739" s="58">
        <v>45562</v>
      </c>
    </row>
    <row r="740" spans="1:16" x14ac:dyDescent="0.25">
      <c r="A740" t="s">
        <v>301</v>
      </c>
      <c r="J740" s="58">
        <v>45562</v>
      </c>
      <c r="K740" s="120" t="s">
        <v>126</v>
      </c>
      <c r="L740" s="120"/>
    </row>
    <row r="741" spans="1:16" x14ac:dyDescent="0.25">
      <c r="A741" t="s">
        <v>203</v>
      </c>
      <c r="N741" s="58">
        <v>45562</v>
      </c>
    </row>
    <row r="742" spans="1:16" x14ac:dyDescent="0.25">
      <c r="A742" t="s">
        <v>93</v>
      </c>
      <c r="B742" s="62">
        <v>45562</v>
      </c>
    </row>
    <row r="743" spans="1:16" x14ac:dyDescent="0.25">
      <c r="A743" t="s">
        <v>265</v>
      </c>
      <c r="P743" s="58">
        <v>45562</v>
      </c>
    </row>
    <row r="744" spans="1:16" x14ac:dyDescent="0.25">
      <c r="A744" t="s">
        <v>171</v>
      </c>
      <c r="L744" s="58">
        <v>45565</v>
      </c>
    </row>
    <row r="745" spans="1:16" x14ac:dyDescent="0.25">
      <c r="A745" t="s">
        <v>236</v>
      </c>
      <c r="P745" s="58">
        <v>45565</v>
      </c>
    </row>
    <row r="746" spans="1:16" x14ac:dyDescent="0.25">
      <c r="A746" t="s">
        <v>216</v>
      </c>
      <c r="B746" s="62">
        <v>45565</v>
      </c>
    </row>
    <row r="747" spans="1:16" x14ac:dyDescent="0.25">
      <c r="A747" t="s">
        <v>203</v>
      </c>
      <c r="F747" s="58">
        <v>45565</v>
      </c>
    </row>
    <row r="748" spans="1:16" x14ac:dyDescent="0.25">
      <c r="A748" t="s">
        <v>178</v>
      </c>
      <c r="H748" s="58">
        <v>45565</v>
      </c>
    </row>
    <row r="749" spans="1:16" x14ac:dyDescent="0.25">
      <c r="A749" t="s">
        <v>90</v>
      </c>
      <c r="J749" s="58">
        <v>45565</v>
      </c>
    </row>
    <row r="750" spans="1:16" x14ac:dyDescent="0.25">
      <c r="A750" t="s">
        <v>171</v>
      </c>
      <c r="L750" s="58">
        <v>45565</v>
      </c>
      <c r="M750" s="116" t="s">
        <v>268</v>
      </c>
      <c r="N750" s="116"/>
    </row>
    <row r="751" spans="1:16" x14ac:dyDescent="0.25">
      <c r="A751" t="s">
        <v>203</v>
      </c>
      <c r="D751" s="58"/>
      <c r="N751" s="58">
        <v>45565</v>
      </c>
    </row>
    <row r="752" spans="1:16" x14ac:dyDescent="0.25">
      <c r="A752" t="s">
        <v>193</v>
      </c>
      <c r="D752" s="58">
        <v>45565</v>
      </c>
    </row>
    <row r="753" spans="1:16" x14ac:dyDescent="0.25">
      <c r="A753" t="s">
        <v>206</v>
      </c>
      <c r="B753" s="62">
        <v>45568</v>
      </c>
    </row>
    <row r="754" spans="1:16" x14ac:dyDescent="0.25">
      <c r="A754" t="s">
        <v>171</v>
      </c>
      <c r="D754" s="58">
        <v>45568</v>
      </c>
    </row>
    <row r="755" spans="1:16" x14ac:dyDescent="0.25">
      <c r="A755" t="s">
        <v>236</v>
      </c>
      <c r="F755" s="58">
        <v>45569</v>
      </c>
    </row>
    <row r="756" spans="1:16" x14ac:dyDescent="0.25">
      <c r="A756" t="s">
        <v>193</v>
      </c>
      <c r="H756" s="58">
        <v>45569</v>
      </c>
    </row>
    <row r="757" spans="1:16" x14ac:dyDescent="0.25">
      <c r="A757" t="s">
        <v>236</v>
      </c>
      <c r="J757" s="58">
        <v>45572</v>
      </c>
    </row>
    <row r="758" spans="1:16" x14ac:dyDescent="0.25">
      <c r="A758" t="s">
        <v>269</v>
      </c>
      <c r="L758" s="58">
        <v>45572</v>
      </c>
    </row>
    <row r="759" spans="1:16" x14ac:dyDescent="0.25">
      <c r="A759" t="s">
        <v>227</v>
      </c>
      <c r="N759" s="58">
        <v>45573</v>
      </c>
    </row>
    <row r="760" spans="1:16" x14ac:dyDescent="0.25">
      <c r="A760" t="s">
        <v>232</v>
      </c>
      <c r="P760" s="58">
        <v>45573</v>
      </c>
    </row>
    <row r="761" spans="1:16" x14ac:dyDescent="0.25">
      <c r="A761" t="s">
        <v>236</v>
      </c>
      <c r="B761" s="62">
        <v>45574</v>
      </c>
    </row>
    <row r="762" spans="1:16" x14ac:dyDescent="0.25">
      <c r="A762" t="s">
        <v>206</v>
      </c>
      <c r="D762" s="58">
        <v>45574</v>
      </c>
    </row>
    <row r="763" spans="1:16" x14ac:dyDescent="0.25">
      <c r="A763" t="s">
        <v>193</v>
      </c>
      <c r="F763" s="58">
        <v>45574</v>
      </c>
    </row>
    <row r="764" spans="1:16" x14ac:dyDescent="0.25">
      <c r="A764" t="s">
        <v>203</v>
      </c>
      <c r="H764" s="58">
        <v>45575</v>
      </c>
    </row>
    <row r="765" spans="1:16" x14ac:dyDescent="0.25">
      <c r="A765" t="s">
        <v>171</v>
      </c>
      <c r="J765" s="58">
        <v>45575</v>
      </c>
    </row>
    <row r="766" spans="1:16" x14ac:dyDescent="0.25">
      <c r="A766" t="s">
        <v>193</v>
      </c>
      <c r="L766" s="58">
        <v>45575</v>
      </c>
    </row>
    <row r="767" spans="1:16" x14ac:dyDescent="0.25">
      <c r="A767" t="s">
        <v>90</v>
      </c>
      <c r="N767" s="58">
        <v>45576</v>
      </c>
    </row>
    <row r="768" spans="1:16" x14ac:dyDescent="0.25">
      <c r="A768" t="s">
        <v>301</v>
      </c>
      <c r="P768" s="58">
        <v>45576</v>
      </c>
    </row>
    <row r="769" spans="1:19" x14ac:dyDescent="0.25">
      <c r="A769" t="s">
        <v>216</v>
      </c>
      <c r="B769" s="62">
        <v>45576</v>
      </c>
    </row>
    <row r="770" spans="1:19" x14ac:dyDescent="0.25">
      <c r="A770" t="s">
        <v>265</v>
      </c>
      <c r="D770" s="58">
        <v>45579</v>
      </c>
    </row>
    <row r="771" spans="1:19" x14ac:dyDescent="0.25">
      <c r="A771" t="s">
        <v>301</v>
      </c>
      <c r="F771" s="58">
        <v>45579</v>
      </c>
    </row>
    <row r="772" spans="1:19" x14ac:dyDescent="0.25">
      <c r="A772" t="s">
        <v>222</v>
      </c>
      <c r="H772" s="58">
        <v>45580</v>
      </c>
    </row>
    <row r="773" spans="1:19" x14ac:dyDescent="0.25">
      <c r="A773" t="s">
        <v>206</v>
      </c>
      <c r="J773" s="58">
        <v>45581</v>
      </c>
    </row>
    <row r="774" spans="1:19" x14ac:dyDescent="0.25">
      <c r="A774" t="s">
        <v>222</v>
      </c>
      <c r="L774" s="58">
        <v>45582</v>
      </c>
    </row>
    <row r="775" spans="1:19" x14ac:dyDescent="0.25">
      <c r="A775" t="s">
        <v>236</v>
      </c>
      <c r="N775" s="58">
        <v>45583</v>
      </c>
    </row>
    <row r="776" spans="1:19" x14ac:dyDescent="0.25">
      <c r="A776" t="s">
        <v>171</v>
      </c>
      <c r="P776" s="58">
        <v>45583</v>
      </c>
    </row>
    <row r="777" spans="1:19" x14ac:dyDescent="0.25">
      <c r="A777" t="s">
        <v>232</v>
      </c>
    </row>
    <row r="778" spans="1:19" x14ac:dyDescent="0.25">
      <c r="A778" t="s">
        <v>301</v>
      </c>
      <c r="D778" s="58">
        <v>45586</v>
      </c>
    </row>
    <row r="779" spans="1:19" x14ac:dyDescent="0.25">
      <c r="A779" t="s">
        <v>203</v>
      </c>
      <c r="H779" s="58">
        <v>45587</v>
      </c>
    </row>
    <row r="780" spans="1:19" x14ac:dyDescent="0.25">
      <c r="A780" t="s">
        <v>272</v>
      </c>
      <c r="L780" s="58">
        <v>45587</v>
      </c>
    </row>
    <row r="781" spans="1:19" x14ac:dyDescent="0.25">
      <c r="A781" t="s">
        <v>203</v>
      </c>
      <c r="N781" s="58">
        <v>45589</v>
      </c>
    </row>
    <row r="782" spans="1:19" x14ac:dyDescent="0.25">
      <c r="A782" t="s">
        <v>269</v>
      </c>
      <c r="B782" s="58">
        <v>45589</v>
      </c>
      <c r="P782" t="s">
        <v>274</v>
      </c>
    </row>
    <row r="783" spans="1:19" x14ac:dyDescent="0.25">
      <c r="A783" t="s">
        <v>265</v>
      </c>
      <c r="D783" s="58">
        <v>45589</v>
      </c>
    </row>
    <row r="784" spans="1:19" ht="18.75" x14ac:dyDescent="0.3">
      <c r="A784" s="113" t="s">
        <v>276</v>
      </c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</row>
    <row r="785" spans="1:20" x14ac:dyDescent="0.25">
      <c r="A785" t="s">
        <v>265</v>
      </c>
      <c r="D785" s="58">
        <v>45590</v>
      </c>
    </row>
    <row r="786" spans="1:20" x14ac:dyDescent="0.25">
      <c r="A786" t="s">
        <v>203</v>
      </c>
      <c r="H786" s="58">
        <v>45955</v>
      </c>
      <c r="N786" s="65" t="s">
        <v>275</v>
      </c>
      <c r="O786" s="65"/>
    </row>
    <row r="787" spans="1:20" x14ac:dyDescent="0.25">
      <c r="A787" t="s">
        <v>236</v>
      </c>
      <c r="J787" s="58">
        <v>45590</v>
      </c>
    </row>
    <row r="788" spans="1:20" x14ac:dyDescent="0.25">
      <c r="A788" t="s">
        <v>193</v>
      </c>
      <c r="L788" s="58">
        <v>45590</v>
      </c>
    </row>
    <row r="789" spans="1:20" x14ac:dyDescent="0.25">
      <c r="A789" t="s">
        <v>90</v>
      </c>
      <c r="N789" s="58">
        <v>45590</v>
      </c>
    </row>
    <row r="790" spans="1:20" x14ac:dyDescent="0.25">
      <c r="A790" t="s">
        <v>83</v>
      </c>
      <c r="P790" s="58">
        <v>45590</v>
      </c>
    </row>
    <row r="791" spans="1:20" x14ac:dyDescent="0.25">
      <c r="A791" t="s">
        <v>206</v>
      </c>
      <c r="B791" s="62">
        <v>45593</v>
      </c>
    </row>
    <row r="792" spans="1:20" x14ac:dyDescent="0.25">
      <c r="A792" t="s">
        <v>193</v>
      </c>
      <c r="D792" s="58">
        <v>45593</v>
      </c>
      <c r="E792" s="65" t="s">
        <v>234</v>
      </c>
      <c r="F792" s="65"/>
    </row>
    <row r="793" spans="1:20" x14ac:dyDescent="0.25">
      <c r="A793" t="s">
        <v>278</v>
      </c>
      <c r="R793" s="58">
        <v>45594</v>
      </c>
      <c r="T793" t="s">
        <v>284</v>
      </c>
    </row>
    <row r="794" spans="1:20" x14ac:dyDescent="0.25">
      <c r="A794" t="s">
        <v>193</v>
      </c>
      <c r="D794" s="58">
        <v>45595</v>
      </c>
    </row>
    <row r="795" spans="1:20" x14ac:dyDescent="0.25">
      <c r="A795" t="s">
        <v>216</v>
      </c>
      <c r="F795" s="58">
        <v>45595</v>
      </c>
      <c r="G795" s="65" t="s">
        <v>234</v>
      </c>
      <c r="H795" s="65"/>
    </row>
    <row r="796" spans="1:20" x14ac:dyDescent="0.25">
      <c r="A796" t="s">
        <v>230</v>
      </c>
      <c r="H796" s="58">
        <v>45595</v>
      </c>
    </row>
    <row r="797" spans="1:20" x14ac:dyDescent="0.25">
      <c r="A797" t="s">
        <v>203</v>
      </c>
      <c r="J797" s="58">
        <v>45595</v>
      </c>
    </row>
    <row r="798" spans="1:20" x14ac:dyDescent="0.25">
      <c r="A798" t="s">
        <v>232</v>
      </c>
      <c r="L798" s="58">
        <v>45596</v>
      </c>
    </row>
    <row r="799" spans="1:20" x14ac:dyDescent="0.25">
      <c r="A799" t="s">
        <v>269</v>
      </c>
      <c r="N799" s="58">
        <v>45596</v>
      </c>
    </row>
    <row r="800" spans="1:20" x14ac:dyDescent="0.25">
      <c r="A800" t="s">
        <v>178</v>
      </c>
      <c r="P800" s="58">
        <v>45596</v>
      </c>
    </row>
    <row r="801" spans="1:16" x14ac:dyDescent="0.25">
      <c r="A801" t="s">
        <v>265</v>
      </c>
      <c r="B801" s="58">
        <v>45596</v>
      </c>
    </row>
    <row r="802" spans="1:16" x14ac:dyDescent="0.25">
      <c r="A802" t="s">
        <v>222</v>
      </c>
      <c r="D802" s="58">
        <v>45596</v>
      </c>
    </row>
    <row r="803" spans="1:16" x14ac:dyDescent="0.25">
      <c r="A803" t="s">
        <v>93</v>
      </c>
      <c r="F803" s="58">
        <v>45596</v>
      </c>
    </row>
    <row r="804" spans="1:16" x14ac:dyDescent="0.25">
      <c r="A804" t="s">
        <v>236</v>
      </c>
      <c r="H804" s="58">
        <v>45596</v>
      </c>
    </row>
    <row r="805" spans="1:16" x14ac:dyDescent="0.25">
      <c r="A805" t="s">
        <v>206</v>
      </c>
      <c r="J805" s="58">
        <v>45597</v>
      </c>
    </row>
    <row r="806" spans="1:16" x14ac:dyDescent="0.25">
      <c r="A806" t="s">
        <v>193</v>
      </c>
      <c r="N806" s="58">
        <v>45600</v>
      </c>
    </row>
    <row r="807" spans="1:16" x14ac:dyDescent="0.25">
      <c r="A807" t="s">
        <v>236</v>
      </c>
      <c r="P807" s="58">
        <v>45600</v>
      </c>
    </row>
    <row r="808" spans="1:16" x14ac:dyDescent="0.25">
      <c r="A808" t="s">
        <v>272</v>
      </c>
      <c r="B808" s="62">
        <v>45602</v>
      </c>
    </row>
    <row r="809" spans="1:16" x14ac:dyDescent="0.25">
      <c r="A809" t="s">
        <v>269</v>
      </c>
      <c r="D809" s="58">
        <v>45603</v>
      </c>
    </row>
    <row r="810" spans="1:16" x14ac:dyDescent="0.25">
      <c r="A810" t="s">
        <v>90</v>
      </c>
      <c r="F810" s="58">
        <v>45603</v>
      </c>
    </row>
    <row r="811" spans="1:16" x14ac:dyDescent="0.25">
      <c r="A811" t="s">
        <v>203</v>
      </c>
      <c r="H811" s="58">
        <v>45603</v>
      </c>
    </row>
    <row r="812" spans="1:16" x14ac:dyDescent="0.25">
      <c r="A812" t="s">
        <v>269</v>
      </c>
      <c r="J812" s="58">
        <v>45604</v>
      </c>
    </row>
    <row r="813" spans="1:16" x14ac:dyDescent="0.25">
      <c r="A813" t="s">
        <v>265</v>
      </c>
      <c r="L813" s="58">
        <v>45604</v>
      </c>
    </row>
    <row r="814" spans="1:16" x14ac:dyDescent="0.25">
      <c r="A814" t="s">
        <v>193</v>
      </c>
      <c r="N814" s="58">
        <v>45604</v>
      </c>
    </row>
    <row r="815" spans="1:16" x14ac:dyDescent="0.25">
      <c r="A815" t="s">
        <v>236</v>
      </c>
      <c r="P815" s="58">
        <v>45604</v>
      </c>
    </row>
    <row r="816" spans="1:16" x14ac:dyDescent="0.25">
      <c r="A816" t="s">
        <v>206</v>
      </c>
      <c r="B816" s="62">
        <v>45604</v>
      </c>
    </row>
    <row r="817" spans="1:19" x14ac:dyDescent="0.25">
      <c r="A817" t="s">
        <v>203</v>
      </c>
      <c r="D817" s="58">
        <v>45607</v>
      </c>
    </row>
    <row r="818" spans="1:19" x14ac:dyDescent="0.25">
      <c r="A818" t="s">
        <v>301</v>
      </c>
      <c r="F818" s="58">
        <v>45607</v>
      </c>
    </row>
    <row r="819" spans="1:19" x14ac:dyDescent="0.25">
      <c r="A819" t="s">
        <v>230</v>
      </c>
      <c r="H819" s="58">
        <v>45607</v>
      </c>
    </row>
    <row r="820" spans="1:19" x14ac:dyDescent="0.25">
      <c r="A820" t="s">
        <v>286</v>
      </c>
      <c r="J820" s="58">
        <v>45609</v>
      </c>
    </row>
    <row r="821" spans="1:19" x14ac:dyDescent="0.25">
      <c r="A821" t="s">
        <v>193</v>
      </c>
      <c r="L821" s="58">
        <v>45610</v>
      </c>
    </row>
    <row r="822" spans="1:19" x14ac:dyDescent="0.25">
      <c r="A822" t="s">
        <v>287</v>
      </c>
      <c r="R822" s="58">
        <v>45610</v>
      </c>
      <c r="S822" t="s">
        <v>288</v>
      </c>
    </row>
    <row r="823" spans="1:19" x14ac:dyDescent="0.25">
      <c r="A823" t="s">
        <v>236</v>
      </c>
      <c r="N823" s="58">
        <v>45610</v>
      </c>
    </row>
    <row r="824" spans="1:19" x14ac:dyDescent="0.25">
      <c r="A824" t="s">
        <v>203</v>
      </c>
      <c r="P824" s="58">
        <v>45610</v>
      </c>
    </row>
    <row r="825" spans="1:19" x14ac:dyDescent="0.25">
      <c r="A825" t="s">
        <v>236</v>
      </c>
      <c r="B825" s="62">
        <v>45611</v>
      </c>
    </row>
    <row r="826" spans="1:19" x14ac:dyDescent="0.25">
      <c r="A826" t="s">
        <v>193</v>
      </c>
      <c r="D826" s="58">
        <v>45611</v>
      </c>
    </row>
    <row r="827" spans="1:19" x14ac:dyDescent="0.25">
      <c r="A827" t="s">
        <v>206</v>
      </c>
      <c r="F827" s="58">
        <v>45611</v>
      </c>
    </row>
    <row r="828" spans="1:19" x14ac:dyDescent="0.25">
      <c r="A828" t="s">
        <v>301</v>
      </c>
      <c r="J828" s="58">
        <v>45611</v>
      </c>
    </row>
    <row r="829" spans="1:19" x14ac:dyDescent="0.25">
      <c r="A829" t="s">
        <v>193</v>
      </c>
      <c r="L829" s="58">
        <v>45615</v>
      </c>
    </row>
    <row r="830" spans="1:19" x14ac:dyDescent="0.25">
      <c r="A830" t="s">
        <v>269</v>
      </c>
      <c r="N830" s="58">
        <v>45615</v>
      </c>
    </row>
    <row r="831" spans="1:19" x14ac:dyDescent="0.25">
      <c r="A831" t="s">
        <v>236</v>
      </c>
      <c r="P831" s="58">
        <v>45616</v>
      </c>
    </row>
    <row r="832" spans="1:19" x14ac:dyDescent="0.25">
      <c r="A832" t="s">
        <v>232</v>
      </c>
      <c r="B832" s="62">
        <v>45616</v>
      </c>
    </row>
    <row r="833" spans="1:19" x14ac:dyDescent="0.25">
      <c r="A833" t="s">
        <v>290</v>
      </c>
      <c r="R833" s="58">
        <v>45617</v>
      </c>
    </row>
    <row r="834" spans="1:19" x14ac:dyDescent="0.25">
      <c r="A834" t="s">
        <v>301</v>
      </c>
      <c r="D834" s="58">
        <v>45618</v>
      </c>
      <c r="E834" s="65" t="s">
        <v>234</v>
      </c>
      <c r="F834" s="65"/>
      <c r="G834" s="65"/>
    </row>
    <row r="835" spans="1:19" x14ac:dyDescent="0.25">
      <c r="A835" t="s">
        <v>230</v>
      </c>
      <c r="F835" s="58">
        <v>45618</v>
      </c>
    </row>
    <row r="836" spans="1:19" x14ac:dyDescent="0.25">
      <c r="A836" t="s">
        <v>90</v>
      </c>
      <c r="J836" s="58">
        <v>45618</v>
      </c>
    </row>
    <row r="837" spans="1:19" x14ac:dyDescent="0.25">
      <c r="A837" t="s">
        <v>265</v>
      </c>
      <c r="L837" s="58">
        <v>45618</v>
      </c>
    </row>
    <row r="838" spans="1:19" x14ac:dyDescent="0.25">
      <c r="A838" t="s">
        <v>232</v>
      </c>
      <c r="N838" s="58">
        <v>45622</v>
      </c>
    </row>
    <row r="839" spans="1:19" ht="18.75" x14ac:dyDescent="0.3">
      <c r="A839" s="113" t="s">
        <v>291</v>
      </c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</row>
    <row r="840" spans="1:19" x14ac:dyDescent="0.25">
      <c r="A840" t="s">
        <v>203</v>
      </c>
      <c r="P840" s="58">
        <v>45622</v>
      </c>
    </row>
    <row r="841" spans="1:19" x14ac:dyDescent="0.25">
      <c r="A841" t="s">
        <v>269</v>
      </c>
      <c r="B841" s="62">
        <v>45622</v>
      </c>
      <c r="C841" s="107" t="s">
        <v>210</v>
      </c>
      <c r="D841" s="65"/>
    </row>
    <row r="842" spans="1:19" x14ac:dyDescent="0.25">
      <c r="A842" t="s">
        <v>232</v>
      </c>
      <c r="D842" s="58">
        <v>45623</v>
      </c>
    </row>
    <row r="843" spans="1:19" x14ac:dyDescent="0.25">
      <c r="A843" t="s">
        <v>265</v>
      </c>
      <c r="F843" s="58">
        <v>45623</v>
      </c>
    </row>
    <row r="844" spans="1:19" x14ac:dyDescent="0.25">
      <c r="A844" t="s">
        <v>171</v>
      </c>
      <c r="H844" s="58">
        <v>45623</v>
      </c>
    </row>
    <row r="845" spans="1:19" x14ac:dyDescent="0.25">
      <c r="A845" t="s">
        <v>286</v>
      </c>
      <c r="J845" s="58">
        <v>45624</v>
      </c>
    </row>
    <row r="846" spans="1:19" x14ac:dyDescent="0.25">
      <c r="A846" t="s">
        <v>171</v>
      </c>
      <c r="L846" s="58">
        <v>45624</v>
      </c>
    </row>
    <row r="847" spans="1:19" x14ac:dyDescent="0.25">
      <c r="A847" t="s">
        <v>203</v>
      </c>
      <c r="N847" s="58">
        <v>45624</v>
      </c>
    </row>
    <row r="848" spans="1:19" x14ac:dyDescent="0.25">
      <c r="A848" t="s">
        <v>265</v>
      </c>
      <c r="P848" s="58">
        <v>45625</v>
      </c>
    </row>
    <row r="849" spans="1:17" x14ac:dyDescent="0.25">
      <c r="A849" t="s">
        <v>269</v>
      </c>
      <c r="B849" s="62">
        <v>45625</v>
      </c>
    </row>
    <row r="850" spans="1:17" x14ac:dyDescent="0.25">
      <c r="A850" t="s">
        <v>286</v>
      </c>
      <c r="D850" s="58">
        <v>45625</v>
      </c>
    </row>
    <row r="851" spans="1:17" x14ac:dyDescent="0.25">
      <c r="A851" t="s">
        <v>171</v>
      </c>
      <c r="F851" s="58">
        <v>45625</v>
      </c>
    </row>
    <row r="852" spans="1:17" x14ac:dyDescent="0.25">
      <c r="A852" t="s">
        <v>269</v>
      </c>
      <c r="L852" s="58">
        <v>45625</v>
      </c>
    </row>
    <row r="853" spans="1:17" x14ac:dyDescent="0.25">
      <c r="A853" t="s">
        <v>236</v>
      </c>
      <c r="J853" s="58">
        <v>45625</v>
      </c>
    </row>
    <row r="854" spans="1:17" x14ac:dyDescent="0.25">
      <c r="A854" t="s">
        <v>193</v>
      </c>
      <c r="H854" s="58">
        <v>45625</v>
      </c>
    </row>
    <row r="855" spans="1:17" x14ac:dyDescent="0.25">
      <c r="A855" t="s">
        <v>90</v>
      </c>
      <c r="N855" s="58">
        <v>45625</v>
      </c>
    </row>
    <row r="856" spans="1:17" x14ac:dyDescent="0.25">
      <c r="A856" t="s">
        <v>269</v>
      </c>
      <c r="B856" s="62">
        <v>45625</v>
      </c>
    </row>
    <row r="857" spans="1:17" x14ac:dyDescent="0.25">
      <c r="A857" t="s">
        <v>269</v>
      </c>
      <c r="H857" s="58">
        <v>45629</v>
      </c>
    </row>
    <row r="858" spans="1:17" x14ac:dyDescent="0.25">
      <c r="A858" t="s">
        <v>216</v>
      </c>
      <c r="D858" s="58">
        <v>45630</v>
      </c>
    </row>
    <row r="859" spans="1:17" x14ac:dyDescent="0.25">
      <c r="A859" t="s">
        <v>269</v>
      </c>
      <c r="J859" s="58">
        <v>45631</v>
      </c>
    </row>
    <row r="860" spans="1:17" x14ac:dyDescent="0.25">
      <c r="A860" t="s">
        <v>232</v>
      </c>
      <c r="L860" s="58">
        <v>45632</v>
      </c>
    </row>
    <row r="861" spans="1:17" x14ac:dyDescent="0.25">
      <c r="A861" t="s">
        <v>265</v>
      </c>
      <c r="N861" s="58">
        <v>45632</v>
      </c>
    </row>
    <row r="862" spans="1:17" x14ac:dyDescent="0.25">
      <c r="A862" t="s">
        <v>236</v>
      </c>
      <c r="B862" s="62">
        <v>45632</v>
      </c>
      <c r="P862" s="58">
        <v>45632</v>
      </c>
      <c r="Q862" t="s">
        <v>292</v>
      </c>
    </row>
    <row r="863" spans="1:17" x14ac:dyDescent="0.25">
      <c r="A863" t="s">
        <v>222</v>
      </c>
      <c r="D863" s="58">
        <v>45635</v>
      </c>
    </row>
    <row r="864" spans="1:17" x14ac:dyDescent="0.25">
      <c r="A864" t="s">
        <v>269</v>
      </c>
      <c r="F864" s="58">
        <v>45635</v>
      </c>
    </row>
    <row r="865" spans="1:18" x14ac:dyDescent="0.25">
      <c r="A865" t="s">
        <v>286</v>
      </c>
      <c r="H865" s="58">
        <v>45635</v>
      </c>
    </row>
    <row r="866" spans="1:18" x14ac:dyDescent="0.25">
      <c r="A866" t="s">
        <v>193</v>
      </c>
      <c r="J866" s="58">
        <v>45635</v>
      </c>
    </row>
    <row r="867" spans="1:18" x14ac:dyDescent="0.25">
      <c r="A867" t="s">
        <v>203</v>
      </c>
      <c r="L867" s="58">
        <v>45636</v>
      </c>
    </row>
    <row r="868" spans="1:18" x14ac:dyDescent="0.25">
      <c r="A868" t="s">
        <v>269</v>
      </c>
      <c r="N868" s="58">
        <v>45636</v>
      </c>
      <c r="P868" s="58">
        <v>45637</v>
      </c>
      <c r="Q868" t="s">
        <v>292</v>
      </c>
    </row>
    <row r="869" spans="1:18" x14ac:dyDescent="0.25">
      <c r="A869" t="s">
        <v>206</v>
      </c>
      <c r="B869" s="62">
        <v>45637</v>
      </c>
    </row>
    <row r="870" spans="1:18" x14ac:dyDescent="0.25">
      <c r="A870" t="s">
        <v>222</v>
      </c>
      <c r="D870" s="58">
        <v>45637</v>
      </c>
    </row>
    <row r="871" spans="1:18" x14ac:dyDescent="0.25">
      <c r="A871" t="s">
        <v>216</v>
      </c>
      <c r="F871" s="58">
        <v>45637</v>
      </c>
    </row>
    <row r="872" spans="1:18" x14ac:dyDescent="0.25">
      <c r="A872" t="s">
        <v>193</v>
      </c>
      <c r="H872" s="58">
        <v>45637</v>
      </c>
    </row>
    <row r="873" spans="1:18" x14ac:dyDescent="0.25">
      <c r="A873" t="s">
        <v>236</v>
      </c>
      <c r="J873" s="58">
        <v>45638</v>
      </c>
    </row>
    <row r="874" spans="1:18" x14ac:dyDescent="0.25">
      <c r="A874" t="s">
        <v>265</v>
      </c>
      <c r="L874" s="58">
        <v>45639</v>
      </c>
    </row>
    <row r="875" spans="1:18" x14ac:dyDescent="0.25">
      <c r="A875" t="s">
        <v>203</v>
      </c>
      <c r="N875" s="58">
        <v>45639</v>
      </c>
    </row>
    <row r="876" spans="1:18" x14ac:dyDescent="0.25">
      <c r="A876" t="s">
        <v>301</v>
      </c>
      <c r="P876" s="58">
        <v>45639</v>
      </c>
      <c r="Q876" s="65" t="s">
        <v>293</v>
      </c>
      <c r="R876" s="65"/>
    </row>
    <row r="877" spans="1:18" x14ac:dyDescent="0.25">
      <c r="A877" t="s">
        <v>206</v>
      </c>
      <c r="B877" s="62">
        <v>45639</v>
      </c>
    </row>
    <row r="878" spans="1:18" x14ac:dyDescent="0.25">
      <c r="A878" t="s">
        <v>193</v>
      </c>
      <c r="D878" s="58">
        <v>45639</v>
      </c>
    </row>
    <row r="879" spans="1:18" x14ac:dyDescent="0.25">
      <c r="A879" t="s">
        <v>265</v>
      </c>
      <c r="F879" s="58">
        <v>45642</v>
      </c>
    </row>
    <row r="880" spans="1:18" x14ac:dyDescent="0.25">
      <c r="A880" t="s">
        <v>178</v>
      </c>
      <c r="H880" s="58">
        <v>45642</v>
      </c>
    </row>
    <row r="881" spans="1:18" x14ac:dyDescent="0.25">
      <c r="A881" t="s">
        <v>171</v>
      </c>
      <c r="J881" s="58">
        <v>45642</v>
      </c>
      <c r="K881" s="65" t="s">
        <v>293</v>
      </c>
      <c r="L881" s="65"/>
      <c r="M881" s="65"/>
    </row>
    <row r="882" spans="1:18" x14ac:dyDescent="0.25">
      <c r="A882" t="s">
        <v>193</v>
      </c>
      <c r="J882" s="58"/>
      <c r="L882" s="58">
        <v>45642</v>
      </c>
    </row>
    <row r="883" spans="1:18" x14ac:dyDescent="0.25">
      <c r="A883" t="s">
        <v>90</v>
      </c>
      <c r="N883" s="58">
        <v>45642</v>
      </c>
    </row>
    <row r="884" spans="1:18" x14ac:dyDescent="0.25">
      <c r="A884" t="s">
        <v>269</v>
      </c>
      <c r="P884" s="58">
        <v>45642</v>
      </c>
    </row>
    <row r="885" spans="1:18" x14ac:dyDescent="0.25">
      <c r="A885" t="s">
        <v>203</v>
      </c>
      <c r="B885" s="62">
        <v>45643</v>
      </c>
    </row>
    <row r="886" spans="1:18" x14ac:dyDescent="0.25">
      <c r="A886" t="s">
        <v>269</v>
      </c>
      <c r="D886" s="58">
        <v>45644</v>
      </c>
    </row>
    <row r="887" spans="1:18" x14ac:dyDescent="0.25">
      <c r="A887" t="s">
        <v>203</v>
      </c>
      <c r="F887" s="58">
        <v>45644</v>
      </c>
    </row>
    <row r="888" spans="1:18" x14ac:dyDescent="0.25">
      <c r="A888" t="s">
        <v>265</v>
      </c>
      <c r="H888" s="58">
        <v>45644</v>
      </c>
    </row>
    <row r="889" spans="1:18" x14ac:dyDescent="0.25">
      <c r="A889" t="s">
        <v>232</v>
      </c>
      <c r="J889" s="58">
        <v>45644</v>
      </c>
    </row>
    <row r="890" spans="1:18" x14ac:dyDescent="0.25">
      <c r="A890" t="s">
        <v>171</v>
      </c>
      <c r="L890" s="58">
        <v>45644</v>
      </c>
    </row>
    <row r="891" spans="1:18" x14ac:dyDescent="0.25">
      <c r="A891" t="s">
        <v>193</v>
      </c>
      <c r="N891" s="58">
        <v>45644</v>
      </c>
      <c r="O891" s="65" t="s">
        <v>294</v>
      </c>
      <c r="P891" s="65"/>
      <c r="Q891" s="65"/>
    </row>
    <row r="892" spans="1:18" x14ac:dyDescent="0.25">
      <c r="A892" t="s">
        <v>222</v>
      </c>
      <c r="B892" s="58">
        <v>45644</v>
      </c>
      <c r="P892" s="108" t="s">
        <v>295</v>
      </c>
      <c r="Q892" s="108"/>
      <c r="R892" s="108"/>
    </row>
    <row r="893" spans="1:18" x14ac:dyDescent="0.25">
      <c r="A893" t="s">
        <v>232</v>
      </c>
      <c r="D893" s="58">
        <v>45645</v>
      </c>
      <c r="E893" s="120" t="s">
        <v>198</v>
      </c>
      <c r="F893" s="120"/>
      <c r="G893" s="120"/>
    </row>
    <row r="894" spans="1:18" x14ac:dyDescent="0.25">
      <c r="A894" t="s">
        <v>90</v>
      </c>
      <c r="F894" s="58">
        <v>45645</v>
      </c>
    </row>
    <row r="895" spans="1:18" x14ac:dyDescent="0.25">
      <c r="A895" t="s">
        <v>269</v>
      </c>
      <c r="H895" s="58">
        <v>45645</v>
      </c>
    </row>
    <row r="896" spans="1:18" x14ac:dyDescent="0.25">
      <c r="A896" t="s">
        <v>265</v>
      </c>
      <c r="J896" s="58">
        <v>45645</v>
      </c>
    </row>
    <row r="897" spans="1:19" x14ac:dyDescent="0.25">
      <c r="A897" t="s">
        <v>236</v>
      </c>
      <c r="L897" s="58">
        <v>45646</v>
      </c>
    </row>
    <row r="898" spans="1:19" x14ac:dyDescent="0.25">
      <c r="A898" t="s">
        <v>193</v>
      </c>
      <c r="N898" s="58">
        <v>45646</v>
      </c>
    </row>
    <row r="899" spans="1:19" x14ac:dyDescent="0.25">
      <c r="A899" t="s">
        <v>203</v>
      </c>
      <c r="B899" s="62">
        <v>45646</v>
      </c>
    </row>
    <row r="900" spans="1:19" x14ac:dyDescent="0.25">
      <c r="C900" s="121" t="s">
        <v>296</v>
      </c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</row>
    <row r="901" spans="1:19" x14ac:dyDescent="0.25">
      <c r="A901" t="s">
        <v>236</v>
      </c>
      <c r="D901" s="58">
        <v>45649</v>
      </c>
    </row>
    <row r="902" spans="1:19" x14ac:dyDescent="0.25">
      <c r="A902" t="s">
        <v>193</v>
      </c>
      <c r="F902" s="58">
        <v>45649</v>
      </c>
    </row>
    <row r="903" spans="1:19" x14ac:dyDescent="0.25">
      <c r="A903" t="s">
        <v>265</v>
      </c>
      <c r="H903" s="58">
        <v>45649</v>
      </c>
    </row>
    <row r="904" spans="1:19" x14ac:dyDescent="0.25">
      <c r="A904" t="s">
        <v>269</v>
      </c>
      <c r="J904" s="58">
        <v>45649</v>
      </c>
    </row>
    <row r="905" spans="1:19" x14ac:dyDescent="0.25">
      <c r="A905" t="s">
        <v>236</v>
      </c>
      <c r="L905" s="58">
        <v>45649</v>
      </c>
    </row>
    <row r="906" spans="1:19" x14ac:dyDescent="0.25">
      <c r="A906" t="s">
        <v>301</v>
      </c>
      <c r="N906" s="58">
        <v>45649</v>
      </c>
    </row>
    <row r="907" spans="1:19" x14ac:dyDescent="0.25">
      <c r="A907" t="s">
        <v>269</v>
      </c>
      <c r="P907" s="58">
        <v>45652</v>
      </c>
      <c r="Q907" s="116" t="s">
        <v>297</v>
      </c>
      <c r="R907" s="116"/>
      <c r="S907" s="116"/>
    </row>
    <row r="908" spans="1:19" x14ac:dyDescent="0.25">
      <c r="A908" t="s">
        <v>171</v>
      </c>
      <c r="B908" s="62">
        <v>45652</v>
      </c>
    </row>
    <row r="909" spans="1:19" x14ac:dyDescent="0.25">
      <c r="A909" t="s">
        <v>90</v>
      </c>
      <c r="D909" s="58">
        <v>45652</v>
      </c>
    </row>
    <row r="910" spans="1:19" x14ac:dyDescent="0.25">
      <c r="A910" t="s">
        <v>265</v>
      </c>
      <c r="F910" s="58">
        <v>45652</v>
      </c>
    </row>
    <row r="911" spans="1:19" ht="18.75" x14ac:dyDescent="0.3">
      <c r="A911" s="113" t="s">
        <v>298</v>
      </c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</row>
    <row r="912" spans="1:19" x14ac:dyDescent="0.25">
      <c r="A912" t="s">
        <v>236</v>
      </c>
      <c r="H912" s="58">
        <v>45653</v>
      </c>
    </row>
    <row r="913" spans="1:16" x14ac:dyDescent="0.25">
      <c r="A913" t="s">
        <v>193</v>
      </c>
      <c r="J913" s="58">
        <v>45653</v>
      </c>
    </row>
    <row r="914" spans="1:16" x14ac:dyDescent="0.25">
      <c r="A914" t="s">
        <v>90</v>
      </c>
      <c r="L914" s="58">
        <v>45653</v>
      </c>
    </row>
    <row r="915" spans="1:16" x14ac:dyDescent="0.25">
      <c r="A915" t="s">
        <v>265</v>
      </c>
      <c r="N915" s="58">
        <v>45653</v>
      </c>
    </row>
    <row r="916" spans="1:16" x14ac:dyDescent="0.25">
      <c r="A916" t="s">
        <v>236</v>
      </c>
      <c r="B916" s="62">
        <v>45667</v>
      </c>
    </row>
    <row r="917" spans="1:16" x14ac:dyDescent="0.25">
      <c r="A917" t="s">
        <v>236</v>
      </c>
      <c r="P917" s="58">
        <v>45670</v>
      </c>
    </row>
    <row r="918" spans="1:16" x14ac:dyDescent="0.25">
      <c r="A918" t="s">
        <v>301</v>
      </c>
      <c r="D918" s="58">
        <v>45670</v>
      </c>
    </row>
    <row r="919" spans="1:16" x14ac:dyDescent="0.25">
      <c r="A919" t="s">
        <v>232</v>
      </c>
      <c r="F919" s="58">
        <v>45670</v>
      </c>
      <c r="G919" s="116" t="s">
        <v>234</v>
      </c>
      <c r="H919" s="116"/>
      <c r="I919" s="116"/>
    </row>
    <row r="920" spans="1:16" x14ac:dyDescent="0.25">
      <c r="A920" t="s">
        <v>236</v>
      </c>
      <c r="H920" s="58">
        <v>45672</v>
      </c>
    </row>
    <row r="921" spans="1:16" x14ac:dyDescent="0.25">
      <c r="A921" t="s">
        <v>269</v>
      </c>
      <c r="J921" s="58">
        <v>45673</v>
      </c>
    </row>
    <row r="922" spans="1:16" x14ac:dyDescent="0.25">
      <c r="A922" t="s">
        <v>203</v>
      </c>
      <c r="L922" s="58">
        <v>45673</v>
      </c>
    </row>
    <row r="923" spans="1:16" x14ac:dyDescent="0.25">
      <c r="A923" t="s">
        <v>90</v>
      </c>
      <c r="N923" s="58">
        <v>45308</v>
      </c>
    </row>
    <row r="924" spans="1:16" x14ac:dyDescent="0.25">
      <c r="A924" t="s">
        <v>203</v>
      </c>
      <c r="P924" s="58">
        <v>45308</v>
      </c>
    </row>
    <row r="925" spans="1:16" x14ac:dyDescent="0.25">
      <c r="A925" t="s">
        <v>236</v>
      </c>
      <c r="B925" s="62">
        <v>45674</v>
      </c>
    </row>
    <row r="926" spans="1:16" x14ac:dyDescent="0.25">
      <c r="A926" t="s">
        <v>193</v>
      </c>
      <c r="D926" s="58">
        <v>45674</v>
      </c>
    </row>
    <row r="927" spans="1:16" x14ac:dyDescent="0.25">
      <c r="A927" t="s">
        <v>230</v>
      </c>
      <c r="F927" s="58">
        <v>45678</v>
      </c>
    </row>
    <row r="928" spans="1:16" x14ac:dyDescent="0.25">
      <c r="A928" t="s">
        <v>193</v>
      </c>
      <c r="H928" s="58">
        <v>45679</v>
      </c>
    </row>
    <row r="929" spans="1:16" x14ac:dyDescent="0.25">
      <c r="A929" t="s">
        <v>269</v>
      </c>
      <c r="J929" s="58">
        <v>45679</v>
      </c>
    </row>
    <row r="930" spans="1:16" x14ac:dyDescent="0.25">
      <c r="A930" t="s">
        <v>265</v>
      </c>
      <c r="L930" s="58">
        <v>45681</v>
      </c>
      <c r="M930" s="120" t="s">
        <v>299</v>
      </c>
      <c r="N930" s="120"/>
      <c r="O930" s="120"/>
    </row>
    <row r="931" spans="1:16" x14ac:dyDescent="0.25">
      <c r="A931" t="s">
        <v>286</v>
      </c>
      <c r="N931" s="58">
        <v>45681</v>
      </c>
    </row>
    <row r="932" spans="1:16" x14ac:dyDescent="0.25">
      <c r="A932" t="s">
        <v>236</v>
      </c>
      <c r="P932" s="58">
        <v>45681</v>
      </c>
    </row>
    <row r="933" spans="1:16" x14ac:dyDescent="0.25">
      <c r="A933" t="s">
        <v>216</v>
      </c>
      <c r="B933" s="62">
        <v>45684</v>
      </c>
    </row>
    <row r="934" spans="1:16" x14ac:dyDescent="0.25">
      <c r="A934" t="s">
        <v>203</v>
      </c>
      <c r="D934" s="58">
        <v>45684</v>
      </c>
    </row>
    <row r="935" spans="1:16" x14ac:dyDescent="0.25">
      <c r="A935" t="s">
        <v>265</v>
      </c>
      <c r="F935" s="58">
        <v>45318</v>
      </c>
    </row>
    <row r="936" spans="1:16" x14ac:dyDescent="0.25">
      <c r="A936" t="s">
        <v>232</v>
      </c>
      <c r="H936" s="58">
        <v>45684</v>
      </c>
    </row>
    <row r="937" spans="1:16" x14ac:dyDescent="0.25">
      <c r="A937" t="s">
        <v>232</v>
      </c>
      <c r="J937" s="58">
        <v>45685</v>
      </c>
    </row>
    <row r="938" spans="1:16" x14ac:dyDescent="0.25">
      <c r="A938" t="s">
        <v>269</v>
      </c>
      <c r="L938" s="58">
        <v>45685</v>
      </c>
    </row>
    <row r="939" spans="1:16" x14ac:dyDescent="0.25">
      <c r="A939" t="s">
        <v>236</v>
      </c>
      <c r="N939" s="58">
        <v>45686</v>
      </c>
    </row>
    <row r="940" spans="1:16" x14ac:dyDescent="0.25">
      <c r="A940" t="s">
        <v>178</v>
      </c>
      <c r="P940" s="58">
        <v>45686</v>
      </c>
    </row>
    <row r="941" spans="1:16" x14ac:dyDescent="0.25">
      <c r="A941" t="s">
        <v>265</v>
      </c>
      <c r="B941" s="62">
        <v>45686</v>
      </c>
    </row>
    <row r="942" spans="1:16" x14ac:dyDescent="0.25">
      <c r="A942" t="s">
        <v>269</v>
      </c>
      <c r="D942" s="58">
        <v>45687</v>
      </c>
    </row>
    <row r="943" spans="1:16" x14ac:dyDescent="0.25">
      <c r="A943" t="s">
        <v>222</v>
      </c>
    </row>
    <row r="944" spans="1:16" x14ac:dyDescent="0.25">
      <c r="A944" t="s">
        <v>269</v>
      </c>
      <c r="H944" s="58">
        <v>45687</v>
      </c>
    </row>
    <row r="945" spans="1:16" x14ac:dyDescent="0.25">
      <c r="A945" t="s">
        <v>206</v>
      </c>
      <c r="J945" s="58">
        <v>45688</v>
      </c>
    </row>
    <row r="946" spans="1:16" x14ac:dyDescent="0.25">
      <c r="A946" t="s">
        <v>265</v>
      </c>
      <c r="L946" s="58">
        <v>45688</v>
      </c>
    </row>
    <row r="947" spans="1:16" x14ac:dyDescent="0.25">
      <c r="A947" t="s">
        <v>201</v>
      </c>
      <c r="N947" s="58">
        <v>45869</v>
      </c>
    </row>
    <row r="948" spans="1:16" x14ac:dyDescent="0.25">
      <c r="A948" t="s">
        <v>201</v>
      </c>
      <c r="P948" s="58">
        <v>45692</v>
      </c>
    </row>
    <row r="949" spans="1:16" x14ac:dyDescent="0.25">
      <c r="A949" t="s">
        <v>236</v>
      </c>
      <c r="P949" s="58">
        <v>45692</v>
      </c>
    </row>
    <row r="950" spans="1:16" x14ac:dyDescent="0.25">
      <c r="A950" t="s">
        <v>265</v>
      </c>
      <c r="B950" s="62">
        <v>45692</v>
      </c>
    </row>
    <row r="951" spans="1:16" x14ac:dyDescent="0.25">
      <c r="A951" t="s">
        <v>265</v>
      </c>
      <c r="D951" s="58">
        <v>45693</v>
      </c>
    </row>
    <row r="952" spans="1:16" x14ac:dyDescent="0.25">
      <c r="A952" t="s">
        <v>203</v>
      </c>
      <c r="F952" s="58">
        <v>45695</v>
      </c>
    </row>
    <row r="953" spans="1:16" x14ac:dyDescent="0.25">
      <c r="A953" t="s">
        <v>83</v>
      </c>
      <c r="H953" s="58">
        <v>45695</v>
      </c>
    </row>
    <row r="954" spans="1:16" x14ac:dyDescent="0.25">
      <c r="A954" t="s">
        <v>232</v>
      </c>
      <c r="J954" s="58">
        <v>45698</v>
      </c>
    </row>
    <row r="955" spans="1:16" x14ac:dyDescent="0.25">
      <c r="A955" t="s">
        <v>300</v>
      </c>
      <c r="N955" s="58">
        <v>45701</v>
      </c>
    </row>
    <row r="956" spans="1:16" x14ac:dyDescent="0.25">
      <c r="A956" t="s">
        <v>203</v>
      </c>
      <c r="P956" s="58">
        <v>45701</v>
      </c>
    </row>
    <row r="957" spans="1:16" x14ac:dyDescent="0.25">
      <c r="A957" t="s">
        <v>301</v>
      </c>
      <c r="B957" s="62">
        <v>45702</v>
      </c>
      <c r="P957" s="58"/>
    </row>
    <row r="958" spans="1:16" x14ac:dyDescent="0.25">
      <c r="A958" t="s">
        <v>203</v>
      </c>
      <c r="D958" s="58">
        <v>45705</v>
      </c>
    </row>
    <row r="959" spans="1:16" x14ac:dyDescent="0.25">
      <c r="A959" t="s">
        <v>203</v>
      </c>
      <c r="D959" s="58"/>
      <c r="F959" s="58">
        <v>45706</v>
      </c>
    </row>
    <row r="960" spans="1:16" x14ac:dyDescent="0.25">
      <c r="A960" t="s">
        <v>230</v>
      </c>
      <c r="H960" s="58">
        <v>45707</v>
      </c>
    </row>
    <row r="961" spans="1:16" x14ac:dyDescent="0.25">
      <c r="A961" t="s">
        <v>203</v>
      </c>
      <c r="J961" s="58">
        <v>45708</v>
      </c>
    </row>
    <row r="962" spans="1:16" x14ac:dyDescent="0.25">
      <c r="A962" t="s">
        <v>232</v>
      </c>
      <c r="L962" s="58">
        <v>45709</v>
      </c>
    </row>
    <row r="963" spans="1:16" x14ac:dyDescent="0.25">
      <c r="A963" t="s">
        <v>300</v>
      </c>
      <c r="N963" s="58">
        <v>45709</v>
      </c>
    </row>
    <row r="964" spans="1:16" x14ac:dyDescent="0.25">
      <c r="A964" t="s">
        <v>236</v>
      </c>
      <c r="P964" s="58">
        <v>45709</v>
      </c>
    </row>
    <row r="965" spans="1:16" x14ac:dyDescent="0.25">
      <c r="A965" t="s">
        <v>236</v>
      </c>
      <c r="D965" s="58">
        <v>45712</v>
      </c>
      <c r="P965" s="58"/>
    </row>
    <row r="966" spans="1:16" x14ac:dyDescent="0.25">
      <c r="A966" t="s">
        <v>269</v>
      </c>
      <c r="F966" s="58">
        <v>45712</v>
      </c>
    </row>
    <row r="967" spans="1:16" x14ac:dyDescent="0.25">
      <c r="A967" t="s">
        <v>269</v>
      </c>
      <c r="H967" s="58">
        <v>45712</v>
      </c>
      <c r="I967" s="65" t="s">
        <v>302</v>
      </c>
      <c r="J967" s="65"/>
      <c r="K967" s="65"/>
      <c r="L967" s="65"/>
    </row>
    <row r="968" spans="1:16" x14ac:dyDescent="0.25">
      <c r="A968" t="s">
        <v>203</v>
      </c>
      <c r="J968" s="58">
        <v>45712</v>
      </c>
    </row>
    <row r="969" spans="1:16" x14ac:dyDescent="0.25">
      <c r="A969" t="s">
        <v>301</v>
      </c>
      <c r="L969" s="58">
        <v>45713</v>
      </c>
    </row>
    <row r="970" spans="1:16" x14ac:dyDescent="0.25">
      <c r="A970" t="s">
        <v>203</v>
      </c>
      <c r="P970" s="58">
        <v>45713</v>
      </c>
    </row>
    <row r="971" spans="1:16" x14ac:dyDescent="0.25">
      <c r="A971" t="s">
        <v>203</v>
      </c>
      <c r="D971" s="58">
        <v>45715</v>
      </c>
    </row>
    <row r="972" spans="1:16" x14ac:dyDescent="0.25">
      <c r="A972" t="s">
        <v>93</v>
      </c>
      <c r="F972" s="58">
        <v>45715</v>
      </c>
    </row>
    <row r="973" spans="1:16" x14ac:dyDescent="0.25">
      <c r="A973" t="s">
        <v>236</v>
      </c>
      <c r="H973" s="58">
        <v>45715</v>
      </c>
    </row>
    <row r="974" spans="1:16" x14ac:dyDescent="0.25">
      <c r="A974" t="s">
        <v>232</v>
      </c>
      <c r="J974" s="58">
        <v>45715</v>
      </c>
    </row>
    <row r="975" spans="1:16" x14ac:dyDescent="0.25">
      <c r="A975" t="s">
        <v>203</v>
      </c>
      <c r="L975" s="58">
        <v>45716</v>
      </c>
    </row>
    <row r="976" spans="1:16" x14ac:dyDescent="0.25">
      <c r="A976" t="s">
        <v>286</v>
      </c>
      <c r="N976" s="58">
        <v>45716</v>
      </c>
    </row>
    <row r="977" spans="1:16" x14ac:dyDescent="0.25">
      <c r="A977" t="s">
        <v>269</v>
      </c>
      <c r="P977" s="58">
        <v>45716</v>
      </c>
    </row>
    <row r="978" spans="1:16" x14ac:dyDescent="0.25">
      <c r="A978" t="s">
        <v>300</v>
      </c>
      <c r="D978" s="58">
        <v>45716</v>
      </c>
    </row>
    <row r="979" spans="1:16" x14ac:dyDescent="0.25">
      <c r="A979" t="s">
        <v>232</v>
      </c>
      <c r="F979" s="58">
        <v>45716</v>
      </c>
    </row>
    <row r="980" spans="1:16" x14ac:dyDescent="0.25">
      <c r="A980" t="s">
        <v>90</v>
      </c>
      <c r="H980" s="58">
        <v>45716</v>
      </c>
    </row>
    <row r="981" spans="1:16" x14ac:dyDescent="0.25">
      <c r="A981" t="s">
        <v>286</v>
      </c>
      <c r="J981" s="58">
        <v>45716</v>
      </c>
    </row>
    <row r="982" spans="1:16" x14ac:dyDescent="0.25">
      <c r="A982" t="s">
        <v>236</v>
      </c>
      <c r="N982" s="58">
        <v>45716</v>
      </c>
    </row>
    <row r="983" spans="1:16" x14ac:dyDescent="0.25">
      <c r="A983" t="s">
        <v>236</v>
      </c>
      <c r="F983" s="58">
        <v>45719</v>
      </c>
    </row>
    <row r="984" spans="1:16" x14ac:dyDescent="0.25">
      <c r="A984" t="s">
        <v>301</v>
      </c>
      <c r="B984" s="62">
        <v>45720</v>
      </c>
    </row>
    <row r="985" spans="1:16" x14ac:dyDescent="0.25">
      <c r="A985" t="s">
        <v>90</v>
      </c>
      <c r="H985" s="58">
        <v>45720</v>
      </c>
    </row>
    <row r="986" spans="1:16" x14ac:dyDescent="0.25">
      <c r="A986" t="s">
        <v>232</v>
      </c>
      <c r="J986" s="58">
        <v>45722</v>
      </c>
      <c r="K986" s="65" t="s">
        <v>198</v>
      </c>
      <c r="L986" s="65"/>
      <c r="M986" s="65"/>
    </row>
    <row r="987" spans="1:16" x14ac:dyDescent="0.25">
      <c r="A987" t="s">
        <v>236</v>
      </c>
      <c r="L987" s="58">
        <v>45722</v>
      </c>
    </row>
    <row r="988" spans="1:16" x14ac:dyDescent="0.25">
      <c r="A988" t="s">
        <v>269</v>
      </c>
      <c r="N988" s="58">
        <v>45722</v>
      </c>
    </row>
    <row r="989" spans="1:16" x14ac:dyDescent="0.25">
      <c r="A989" t="s">
        <v>174</v>
      </c>
      <c r="P989" s="58">
        <v>45723</v>
      </c>
    </row>
    <row r="990" spans="1:16" x14ac:dyDescent="0.25">
      <c r="A990" t="s">
        <v>286</v>
      </c>
      <c r="B990" s="62">
        <v>45729</v>
      </c>
    </row>
    <row r="991" spans="1:16" x14ac:dyDescent="0.25">
      <c r="A991" t="s">
        <v>236</v>
      </c>
      <c r="H991" s="58">
        <v>45728</v>
      </c>
    </row>
    <row r="992" spans="1:16" x14ac:dyDescent="0.25">
      <c r="A992" t="s">
        <v>90</v>
      </c>
      <c r="L992" s="58">
        <v>45728</v>
      </c>
    </row>
    <row r="993" spans="1:16" x14ac:dyDescent="0.25">
      <c r="A993" t="s">
        <v>222</v>
      </c>
      <c r="D993" s="58">
        <v>45729</v>
      </c>
    </row>
    <row r="994" spans="1:16" x14ac:dyDescent="0.25">
      <c r="A994" t="s">
        <v>286</v>
      </c>
      <c r="F994" s="58">
        <v>45729</v>
      </c>
    </row>
    <row r="995" spans="1:16" x14ac:dyDescent="0.25">
      <c r="A995" t="s">
        <v>222</v>
      </c>
      <c r="D995" s="58">
        <v>45729</v>
      </c>
    </row>
    <row r="996" spans="1:16" x14ac:dyDescent="0.25">
      <c r="A996" t="s">
        <v>236</v>
      </c>
      <c r="H996" s="58">
        <v>45730</v>
      </c>
    </row>
    <row r="997" spans="1:16" x14ac:dyDescent="0.25">
      <c r="A997" t="s">
        <v>269</v>
      </c>
      <c r="J997" s="58">
        <v>45730</v>
      </c>
    </row>
    <row r="998" spans="1:16" x14ac:dyDescent="0.25">
      <c r="A998" t="s">
        <v>90</v>
      </c>
      <c r="B998" s="62">
        <v>45730</v>
      </c>
    </row>
    <row r="999" spans="1:16" x14ac:dyDescent="0.25">
      <c r="A999" t="s">
        <v>93</v>
      </c>
      <c r="L999" s="58">
        <v>45730</v>
      </c>
    </row>
    <row r="1000" spans="1:16" x14ac:dyDescent="0.25">
      <c r="A1000" t="s">
        <v>301</v>
      </c>
      <c r="N1000" s="58">
        <v>45734</v>
      </c>
    </row>
    <row r="1001" spans="1:16" x14ac:dyDescent="0.25">
      <c r="A1001" t="s">
        <v>222</v>
      </c>
      <c r="P1001" s="58">
        <v>45734</v>
      </c>
    </row>
    <row r="1002" spans="1:16" x14ac:dyDescent="0.25">
      <c r="A1002" t="s">
        <v>93</v>
      </c>
      <c r="B1002" s="62">
        <v>45735</v>
      </c>
    </row>
    <row r="1003" spans="1:16" x14ac:dyDescent="0.25">
      <c r="A1003" t="s">
        <v>286</v>
      </c>
      <c r="F1003" s="58">
        <v>45736</v>
      </c>
      <c r="G1003" s="65" t="s">
        <v>293</v>
      </c>
      <c r="H1003" s="65"/>
      <c r="I1003" s="65"/>
    </row>
    <row r="1004" spans="1:16" x14ac:dyDescent="0.25">
      <c r="A1004" t="s">
        <v>269</v>
      </c>
      <c r="D1004" s="58">
        <v>45736</v>
      </c>
    </row>
    <row r="1005" spans="1:16" x14ac:dyDescent="0.25">
      <c r="A1005" t="s">
        <v>93</v>
      </c>
      <c r="H1005" s="58">
        <v>45736</v>
      </c>
    </row>
    <row r="1006" spans="1:16" x14ac:dyDescent="0.25">
      <c r="A1006" t="s">
        <v>206</v>
      </c>
      <c r="J1006" s="58">
        <v>45737</v>
      </c>
      <c r="K1006" s="65" t="s">
        <v>293</v>
      </c>
      <c r="L1006" s="65"/>
      <c r="M1006" s="65"/>
    </row>
    <row r="1007" spans="1:16" x14ac:dyDescent="0.25">
      <c r="A1007" t="s">
        <v>301</v>
      </c>
      <c r="L1007" s="58">
        <v>45737</v>
      </c>
    </row>
    <row r="1008" spans="1:16" x14ac:dyDescent="0.25">
      <c r="A1008" t="s">
        <v>90</v>
      </c>
      <c r="P1008" s="58">
        <v>45737</v>
      </c>
    </row>
    <row r="1009" spans="1:19" x14ac:dyDescent="0.25">
      <c r="A1009" t="s">
        <v>286</v>
      </c>
      <c r="B1009" s="62">
        <v>45737</v>
      </c>
    </row>
    <row r="1010" spans="1:19" x14ac:dyDescent="0.25">
      <c r="A1010" t="s">
        <v>269</v>
      </c>
      <c r="D1010" s="58">
        <v>45737</v>
      </c>
    </row>
    <row r="1011" spans="1:19" x14ac:dyDescent="0.25">
      <c r="A1011" t="s">
        <v>305</v>
      </c>
      <c r="N1011" s="58">
        <v>45737</v>
      </c>
    </row>
    <row r="1012" spans="1:19" x14ac:dyDescent="0.25">
      <c r="A1012" t="s">
        <v>236</v>
      </c>
      <c r="H1012" s="58">
        <v>45737</v>
      </c>
    </row>
    <row r="1013" spans="1:19" x14ac:dyDescent="0.25">
      <c r="A1013" t="s">
        <v>203</v>
      </c>
      <c r="B1013" s="62">
        <v>45740</v>
      </c>
    </row>
    <row r="1014" spans="1:19" x14ac:dyDescent="0.25">
      <c r="A1014" t="s">
        <v>236</v>
      </c>
      <c r="D1014" s="58">
        <v>45741</v>
      </c>
    </row>
    <row r="1015" spans="1:19" x14ac:dyDescent="0.25">
      <c r="A1015" t="s">
        <v>306</v>
      </c>
      <c r="F1015" s="58">
        <v>45743</v>
      </c>
    </row>
    <row r="1016" spans="1:19" x14ac:dyDescent="0.25">
      <c r="A1016" t="s">
        <v>236</v>
      </c>
      <c r="H1016" s="58">
        <v>45743</v>
      </c>
    </row>
    <row r="1017" spans="1:19" x14ac:dyDescent="0.25">
      <c r="A1017" t="s">
        <v>272</v>
      </c>
      <c r="J1017" s="58">
        <v>45743</v>
      </c>
    </row>
    <row r="1018" spans="1:19" x14ac:dyDescent="0.25">
      <c r="A1018" t="s">
        <v>203</v>
      </c>
      <c r="L1018" s="58">
        <v>45743</v>
      </c>
    </row>
    <row r="1019" spans="1:19" ht="18.75" x14ac:dyDescent="0.3">
      <c r="A1019" s="113" t="s">
        <v>307</v>
      </c>
      <c r="B1019" s="113"/>
      <c r="C1019" s="113"/>
      <c r="D1019" s="113"/>
      <c r="E1019" s="113"/>
      <c r="F1019" s="113"/>
      <c r="G1019" s="113"/>
      <c r="H1019" s="113"/>
      <c r="I1019" s="113"/>
      <c r="J1019" s="113"/>
      <c r="K1019" s="113"/>
      <c r="L1019" s="113"/>
      <c r="M1019" s="113"/>
      <c r="N1019" s="113"/>
      <c r="O1019" s="113"/>
      <c r="P1019" s="113"/>
      <c r="Q1019" s="113"/>
      <c r="R1019" s="113"/>
      <c r="S1019" s="113"/>
    </row>
    <row r="1020" spans="1:19" x14ac:dyDescent="0.25">
      <c r="A1020" t="s">
        <v>83</v>
      </c>
      <c r="N1020" s="58">
        <v>45744</v>
      </c>
    </row>
    <row r="1021" spans="1:19" x14ac:dyDescent="0.25">
      <c r="A1021" t="s">
        <v>171</v>
      </c>
      <c r="P1021" s="58">
        <v>45744</v>
      </c>
    </row>
    <row r="1022" spans="1:19" x14ac:dyDescent="0.25">
      <c r="A1022" t="s">
        <v>269</v>
      </c>
      <c r="B1022" s="62">
        <v>45744</v>
      </c>
    </row>
    <row r="1023" spans="1:19" x14ac:dyDescent="0.25">
      <c r="A1023" t="s">
        <v>272</v>
      </c>
      <c r="D1023" s="58">
        <v>45744</v>
      </c>
    </row>
    <row r="1024" spans="1:19" x14ac:dyDescent="0.25">
      <c r="A1024" t="s">
        <v>286</v>
      </c>
      <c r="H1024" s="58">
        <v>45744</v>
      </c>
    </row>
    <row r="1025" spans="1:19" x14ac:dyDescent="0.25">
      <c r="A1025" t="s">
        <v>178</v>
      </c>
      <c r="J1025" s="58">
        <v>45744</v>
      </c>
    </row>
    <row r="1026" spans="1:19" x14ac:dyDescent="0.25">
      <c r="A1026" t="s">
        <v>236</v>
      </c>
      <c r="L1026" s="58">
        <v>45744</v>
      </c>
    </row>
    <row r="1027" spans="1:19" x14ac:dyDescent="0.25">
      <c r="A1027" t="s">
        <v>83</v>
      </c>
      <c r="N1027" s="58">
        <v>45744</v>
      </c>
    </row>
    <row r="1028" spans="1:19" x14ac:dyDescent="0.25">
      <c r="A1028" t="s">
        <v>269</v>
      </c>
      <c r="D1028" s="58">
        <v>45747</v>
      </c>
      <c r="E1028" s="65" t="s">
        <v>234</v>
      </c>
      <c r="F1028" s="65"/>
      <c r="G1028" s="65"/>
    </row>
    <row r="1029" spans="1:19" x14ac:dyDescent="0.25">
      <c r="A1029" t="s">
        <v>90</v>
      </c>
      <c r="F1029" s="58">
        <v>45747</v>
      </c>
      <c r="P1029" s="58">
        <v>45747</v>
      </c>
      <c r="Q1029" s="65" t="s">
        <v>234</v>
      </c>
      <c r="R1029" s="65"/>
      <c r="S1029" s="65"/>
    </row>
    <row r="1030" spans="1:19" x14ac:dyDescent="0.25">
      <c r="A1030" t="s">
        <v>308</v>
      </c>
      <c r="B1030" s="62">
        <v>45747</v>
      </c>
    </row>
    <row r="1031" spans="1:19" x14ac:dyDescent="0.25">
      <c r="A1031" t="s">
        <v>171</v>
      </c>
      <c r="H1031" s="58">
        <v>45747</v>
      </c>
    </row>
    <row r="1032" spans="1:19" x14ac:dyDescent="0.25">
      <c r="A1032" t="s">
        <v>192</v>
      </c>
      <c r="J1032" s="58">
        <v>45747</v>
      </c>
    </row>
    <row r="1033" spans="1:19" x14ac:dyDescent="0.25">
      <c r="A1033" t="s">
        <v>236</v>
      </c>
      <c r="L1033" s="58">
        <v>45747</v>
      </c>
    </row>
    <row r="1034" spans="1:19" x14ac:dyDescent="0.25">
      <c r="A1034" t="s">
        <v>269</v>
      </c>
      <c r="N1034" s="58">
        <v>45747</v>
      </c>
    </row>
    <row r="1035" spans="1:19" x14ac:dyDescent="0.25">
      <c r="A1035" t="s">
        <v>236</v>
      </c>
      <c r="P1035" s="58">
        <v>45717</v>
      </c>
    </row>
    <row r="1036" spans="1:19" x14ac:dyDescent="0.25">
      <c r="A1036" t="s">
        <v>286</v>
      </c>
      <c r="B1036" s="62">
        <v>45750</v>
      </c>
    </row>
    <row r="1037" spans="1:19" x14ac:dyDescent="0.25">
      <c r="A1037" t="s">
        <v>203</v>
      </c>
      <c r="D1037" s="58">
        <v>45750</v>
      </c>
    </row>
    <row r="1038" spans="1:19" x14ac:dyDescent="0.25">
      <c r="A1038" t="s">
        <v>236</v>
      </c>
      <c r="F1038" s="58">
        <v>45750</v>
      </c>
    </row>
    <row r="1039" spans="1:19" x14ac:dyDescent="0.25">
      <c r="A1039" t="s">
        <v>236</v>
      </c>
      <c r="H1039" s="58">
        <v>45751</v>
      </c>
    </row>
    <row r="1040" spans="1:19" x14ac:dyDescent="0.25">
      <c r="A1040" t="s">
        <v>203</v>
      </c>
      <c r="J1040" s="58">
        <v>45751</v>
      </c>
    </row>
    <row r="1041" spans="1:17" x14ac:dyDescent="0.25">
      <c r="A1041" t="s">
        <v>236</v>
      </c>
      <c r="L1041" s="58">
        <v>45754</v>
      </c>
    </row>
    <row r="1042" spans="1:17" x14ac:dyDescent="0.25">
      <c r="A1042" t="s">
        <v>269</v>
      </c>
      <c r="N1042" s="58">
        <v>45754</v>
      </c>
      <c r="O1042" s="65" t="s">
        <v>234</v>
      </c>
      <c r="P1042" s="65"/>
      <c r="Q1042" s="65"/>
    </row>
    <row r="1043" spans="1:17" x14ac:dyDescent="0.25">
      <c r="A1043" t="s">
        <v>90</v>
      </c>
      <c r="P1043" s="58">
        <v>45754</v>
      </c>
    </row>
    <row r="1044" spans="1:17" x14ac:dyDescent="0.25">
      <c r="A1044" t="s">
        <v>236</v>
      </c>
      <c r="B1044" s="62">
        <v>45755</v>
      </c>
      <c r="C1044" s="77" t="s">
        <v>210</v>
      </c>
      <c r="D1044" s="65"/>
    </row>
    <row r="1045" spans="1:17" x14ac:dyDescent="0.25">
      <c r="A1045" t="s">
        <v>206</v>
      </c>
      <c r="D1045" s="58">
        <v>45755</v>
      </c>
    </row>
    <row r="1046" spans="1:17" x14ac:dyDescent="0.25">
      <c r="A1046" t="s">
        <v>236</v>
      </c>
      <c r="F1046" s="58">
        <v>45756</v>
      </c>
    </row>
    <row r="1047" spans="1:17" x14ac:dyDescent="0.25">
      <c r="A1047" t="s">
        <v>203</v>
      </c>
      <c r="H1047" s="58">
        <v>45756</v>
      </c>
    </row>
    <row r="1048" spans="1:17" x14ac:dyDescent="0.25">
      <c r="A1048" t="s">
        <v>236</v>
      </c>
      <c r="J1048" s="58">
        <v>45756</v>
      </c>
    </row>
    <row r="1049" spans="1:17" x14ac:dyDescent="0.25">
      <c r="A1049" t="s">
        <v>222</v>
      </c>
      <c r="L1049" s="58">
        <v>45757</v>
      </c>
    </row>
    <row r="1050" spans="1:17" x14ac:dyDescent="0.25">
      <c r="A1050" t="s">
        <v>269</v>
      </c>
      <c r="N1050" s="58">
        <v>45758</v>
      </c>
      <c r="O1050" s="65" t="s">
        <v>310</v>
      </c>
      <c r="P1050" s="65"/>
      <c r="Q1050" s="65"/>
    </row>
    <row r="1051" spans="1:17" x14ac:dyDescent="0.25">
      <c r="A1051" t="s">
        <v>269</v>
      </c>
      <c r="P1051" s="58">
        <v>45761</v>
      </c>
    </row>
    <row r="1052" spans="1:17" x14ac:dyDescent="0.25">
      <c r="A1052" t="s">
        <v>203</v>
      </c>
      <c r="B1052" s="62">
        <v>45761</v>
      </c>
    </row>
    <row r="1053" spans="1:17" x14ac:dyDescent="0.25">
      <c r="A1053" t="s">
        <v>203</v>
      </c>
      <c r="D1053" s="58">
        <v>45761</v>
      </c>
    </row>
    <row r="1054" spans="1:17" x14ac:dyDescent="0.25">
      <c r="A1054" t="s">
        <v>206</v>
      </c>
    </row>
    <row r="1055" spans="1:17" x14ac:dyDescent="0.25">
      <c r="A1055" t="s">
        <v>171</v>
      </c>
      <c r="D1055" s="58">
        <v>45763</v>
      </c>
    </row>
    <row r="1056" spans="1:17" x14ac:dyDescent="0.25">
      <c r="A1056" t="s">
        <v>203</v>
      </c>
      <c r="F1056" s="58">
        <v>45763</v>
      </c>
    </row>
    <row r="1057" spans="1:19" x14ac:dyDescent="0.25">
      <c r="A1057" t="s">
        <v>236</v>
      </c>
      <c r="D1057" s="58">
        <v>45763</v>
      </c>
    </row>
    <row r="1058" spans="1:19" x14ac:dyDescent="0.25">
      <c r="A1058" t="s">
        <v>203</v>
      </c>
      <c r="H1058" s="58">
        <v>45768</v>
      </c>
    </row>
    <row r="1059" spans="1:19" x14ac:dyDescent="0.25">
      <c r="A1059" t="s">
        <v>269</v>
      </c>
      <c r="J1059" s="58">
        <v>45768</v>
      </c>
    </row>
    <row r="1060" spans="1:19" x14ac:dyDescent="0.25">
      <c r="A1060" t="s">
        <v>236</v>
      </c>
      <c r="L1060" s="58">
        <v>45768</v>
      </c>
      <c r="M1060" s="120" t="s">
        <v>311</v>
      </c>
      <c r="N1060" s="120"/>
      <c r="O1060" s="120"/>
    </row>
    <row r="1061" spans="1:19" x14ac:dyDescent="0.25">
      <c r="A1061" t="s">
        <v>203</v>
      </c>
      <c r="L1061" s="58"/>
      <c r="M1061" s="109"/>
      <c r="N1061" s="107">
        <v>45769</v>
      </c>
      <c r="O1061" s="109"/>
    </row>
    <row r="1062" spans="1:19" x14ac:dyDescent="0.25">
      <c r="A1062" t="s">
        <v>171</v>
      </c>
      <c r="P1062" s="58">
        <v>45770</v>
      </c>
    </row>
    <row r="1063" spans="1:19" x14ac:dyDescent="0.25">
      <c r="A1063" t="s">
        <v>236</v>
      </c>
      <c r="B1063" s="62">
        <v>45770</v>
      </c>
    </row>
    <row r="1064" spans="1:19" x14ac:dyDescent="0.25">
      <c r="A1064" t="s">
        <v>313</v>
      </c>
      <c r="D1064" s="58">
        <v>45770</v>
      </c>
    </row>
    <row r="1065" spans="1:19" x14ac:dyDescent="0.25">
      <c r="A1065" t="s">
        <v>236</v>
      </c>
      <c r="F1065" s="58">
        <v>45771</v>
      </c>
    </row>
    <row r="1066" spans="1:19" x14ac:dyDescent="0.25">
      <c r="A1066" t="s">
        <v>313</v>
      </c>
      <c r="J1066" s="58">
        <v>45772</v>
      </c>
    </row>
    <row r="1067" spans="1:19" x14ac:dyDescent="0.25">
      <c r="A1067" t="s">
        <v>203</v>
      </c>
      <c r="L1067" s="58">
        <v>45772</v>
      </c>
    </row>
    <row r="1068" spans="1:19" x14ac:dyDescent="0.25">
      <c r="A1068" t="s">
        <v>201</v>
      </c>
      <c r="N1068" s="58">
        <v>45772</v>
      </c>
    </row>
    <row r="1069" spans="1:19" ht="18.75" x14ac:dyDescent="0.3">
      <c r="A1069" s="113" t="s">
        <v>314</v>
      </c>
      <c r="B1069" s="113"/>
      <c r="C1069" s="113"/>
      <c r="D1069" s="113"/>
      <c r="E1069" s="113"/>
      <c r="F1069" s="113"/>
      <c r="G1069" s="113"/>
      <c r="H1069" s="113"/>
      <c r="I1069" s="113"/>
      <c r="J1069" s="113"/>
      <c r="K1069" s="113"/>
      <c r="L1069" s="113"/>
      <c r="M1069" s="113"/>
      <c r="N1069" s="113"/>
      <c r="O1069" s="113"/>
      <c r="P1069" s="113"/>
      <c r="Q1069" s="113"/>
      <c r="R1069" s="113"/>
      <c r="S1069" s="113"/>
    </row>
    <row r="1070" spans="1:19" x14ac:dyDescent="0.25">
      <c r="A1070" t="s">
        <v>201</v>
      </c>
      <c r="B1070" s="62">
        <v>45775</v>
      </c>
    </row>
    <row r="1071" spans="1:19" x14ac:dyDescent="0.25">
      <c r="A1071" t="s">
        <v>236</v>
      </c>
      <c r="D1071" s="58">
        <v>45775</v>
      </c>
    </row>
    <row r="1072" spans="1:19" x14ac:dyDescent="0.25">
      <c r="A1072" t="s">
        <v>171</v>
      </c>
      <c r="F1072" s="58">
        <v>45775</v>
      </c>
    </row>
    <row r="1073" spans="1:16" x14ac:dyDescent="0.25">
      <c r="A1073" t="s">
        <v>203</v>
      </c>
      <c r="H1073" s="58">
        <v>45775</v>
      </c>
    </row>
    <row r="1074" spans="1:16" x14ac:dyDescent="0.25">
      <c r="A1074" t="s">
        <v>90</v>
      </c>
      <c r="J1074" s="58">
        <v>45775</v>
      </c>
    </row>
    <row r="1075" spans="1:16" x14ac:dyDescent="0.25">
      <c r="A1075" t="s">
        <v>306</v>
      </c>
      <c r="L1075" s="58">
        <v>45775</v>
      </c>
    </row>
    <row r="1076" spans="1:16" x14ac:dyDescent="0.25">
      <c r="A1076" t="s">
        <v>313</v>
      </c>
      <c r="N1076" s="58">
        <v>45775</v>
      </c>
    </row>
    <row r="1077" spans="1:16" x14ac:dyDescent="0.25">
      <c r="A1077" t="s">
        <v>201</v>
      </c>
      <c r="P1077" s="58">
        <v>45777</v>
      </c>
    </row>
    <row r="1078" spans="1:16" x14ac:dyDescent="0.25">
      <c r="A1078" t="s">
        <v>236</v>
      </c>
      <c r="B1078" s="62">
        <v>45777</v>
      </c>
    </row>
    <row r="1079" spans="1:16" x14ac:dyDescent="0.25">
      <c r="A1079" t="s">
        <v>269</v>
      </c>
      <c r="D1079" s="58">
        <v>45777</v>
      </c>
    </row>
    <row r="1080" spans="1:16" x14ac:dyDescent="0.25">
      <c r="A1080" t="s">
        <v>313</v>
      </c>
      <c r="F1080" s="58">
        <v>45777</v>
      </c>
    </row>
    <row r="1081" spans="1:16" x14ac:dyDescent="0.25">
      <c r="A1081" t="s">
        <v>90</v>
      </c>
      <c r="H1081" s="58">
        <v>45777</v>
      </c>
    </row>
    <row r="1082" spans="1:16" x14ac:dyDescent="0.25">
      <c r="A1082" t="s">
        <v>201</v>
      </c>
      <c r="F1082" t="s">
        <v>209</v>
      </c>
      <c r="J1082" s="58">
        <v>45779</v>
      </c>
    </row>
    <row r="1083" spans="1:16" x14ac:dyDescent="0.25">
      <c r="A1083" t="s">
        <v>206</v>
      </c>
      <c r="L1083" s="58">
        <v>46144</v>
      </c>
    </row>
    <row r="1084" spans="1:16" x14ac:dyDescent="0.25">
      <c r="A1084" t="s">
        <v>236</v>
      </c>
      <c r="N1084" s="58">
        <v>45779</v>
      </c>
    </row>
    <row r="1085" spans="1:16" x14ac:dyDescent="0.25">
      <c r="A1085" t="s">
        <v>236</v>
      </c>
      <c r="P1085" s="58">
        <v>45417</v>
      </c>
    </row>
    <row r="1086" spans="1:16" x14ac:dyDescent="0.25">
      <c r="A1086" t="s">
        <v>313</v>
      </c>
      <c r="D1086" s="58">
        <v>45784</v>
      </c>
    </row>
    <row r="1087" spans="1:16" x14ac:dyDescent="0.25">
      <c r="A1087" t="s">
        <v>313</v>
      </c>
      <c r="F1087" s="58">
        <v>45784</v>
      </c>
    </row>
    <row r="1088" spans="1:16" x14ac:dyDescent="0.25">
      <c r="A1088" t="s">
        <v>220</v>
      </c>
      <c r="H1088" s="58">
        <v>45785</v>
      </c>
    </row>
    <row r="1089" spans="1:19" x14ac:dyDescent="0.25">
      <c r="A1089" t="s">
        <v>216</v>
      </c>
      <c r="J1089" s="58">
        <v>45791</v>
      </c>
    </row>
    <row r="1090" spans="1:19" x14ac:dyDescent="0.25">
      <c r="A1090" t="s">
        <v>315</v>
      </c>
      <c r="B1090" s="62">
        <v>45796</v>
      </c>
    </row>
    <row r="1091" spans="1:19" x14ac:dyDescent="0.25">
      <c r="A1091" t="s">
        <v>306</v>
      </c>
      <c r="D1091" s="58">
        <v>45797</v>
      </c>
    </row>
    <row r="1092" spans="1:19" x14ac:dyDescent="0.25">
      <c r="A1092" t="s">
        <v>313</v>
      </c>
      <c r="F1092" s="58">
        <v>45797</v>
      </c>
    </row>
    <row r="1093" spans="1:19" x14ac:dyDescent="0.25">
      <c r="A1093" t="s">
        <v>306</v>
      </c>
      <c r="H1093" s="58">
        <v>45798</v>
      </c>
    </row>
    <row r="1094" spans="1:19" x14ac:dyDescent="0.25">
      <c r="A1094" t="s">
        <v>272</v>
      </c>
      <c r="L1094" s="58">
        <v>45798</v>
      </c>
    </row>
    <row r="1095" spans="1:19" x14ac:dyDescent="0.25">
      <c r="A1095" t="s">
        <v>318</v>
      </c>
      <c r="J1095" s="58">
        <v>45799</v>
      </c>
    </row>
    <row r="1096" spans="1:19" x14ac:dyDescent="0.25">
      <c r="A1096" t="s">
        <v>316</v>
      </c>
      <c r="N1096" s="58">
        <v>45800</v>
      </c>
    </row>
    <row r="1097" spans="1:19" x14ac:dyDescent="0.25">
      <c r="A1097" t="s">
        <v>315</v>
      </c>
      <c r="P1097" s="58">
        <v>45800</v>
      </c>
    </row>
    <row r="1098" spans="1:19" x14ac:dyDescent="0.25">
      <c r="A1098" t="s">
        <v>313</v>
      </c>
      <c r="B1098" s="62">
        <v>45800</v>
      </c>
    </row>
    <row r="1099" spans="1:19" x14ac:dyDescent="0.25">
      <c r="A1099" t="s">
        <v>305</v>
      </c>
      <c r="D1099" s="58">
        <v>45800</v>
      </c>
    </row>
    <row r="1100" spans="1:19" x14ac:dyDescent="0.25">
      <c r="A1100" t="s">
        <v>236</v>
      </c>
      <c r="F1100" s="58">
        <v>45800</v>
      </c>
    </row>
    <row r="1101" spans="1:19" x14ac:dyDescent="0.25">
      <c r="A1101" t="s">
        <v>320</v>
      </c>
      <c r="H1101" s="58">
        <v>46896</v>
      </c>
    </row>
    <row r="1102" spans="1:19" x14ac:dyDescent="0.25">
      <c r="A1102" t="s">
        <v>236</v>
      </c>
      <c r="J1102" s="58">
        <v>45804</v>
      </c>
    </row>
    <row r="1103" spans="1:19" ht="18.75" x14ac:dyDescent="0.3">
      <c r="A1103" s="113" t="s">
        <v>321</v>
      </c>
      <c r="B1103" s="113"/>
      <c r="C1103" s="113"/>
      <c r="D1103" s="113"/>
      <c r="E1103" s="113"/>
      <c r="F1103" s="113"/>
      <c r="G1103" s="113"/>
      <c r="H1103" s="113"/>
      <c r="I1103" s="113"/>
      <c r="J1103" s="113"/>
      <c r="K1103" s="113"/>
      <c r="L1103" s="113"/>
      <c r="M1103" s="113"/>
      <c r="N1103" s="113"/>
      <c r="O1103" s="113"/>
      <c r="P1103" s="113"/>
      <c r="Q1103" s="113"/>
      <c r="R1103" s="113"/>
      <c r="S1103" s="113"/>
    </row>
    <row r="1104" spans="1:19" x14ac:dyDescent="0.25">
      <c r="A1104" t="s">
        <v>315</v>
      </c>
      <c r="N1104" s="58">
        <v>45804</v>
      </c>
    </row>
    <row r="1105" spans="1:16" x14ac:dyDescent="0.25">
      <c r="A1105" t="s">
        <v>269</v>
      </c>
      <c r="B1105" s="62">
        <v>45805</v>
      </c>
    </row>
    <row r="1106" spans="1:16" x14ac:dyDescent="0.25">
      <c r="A1106" t="s">
        <v>316</v>
      </c>
      <c r="D1106" s="58">
        <v>45806</v>
      </c>
    </row>
    <row r="1107" spans="1:16" x14ac:dyDescent="0.25">
      <c r="A1107" t="s">
        <v>206</v>
      </c>
      <c r="F1107" s="58">
        <v>45806</v>
      </c>
    </row>
    <row r="1108" spans="1:16" x14ac:dyDescent="0.25">
      <c r="A1108" t="s">
        <v>306</v>
      </c>
      <c r="H1108" s="58">
        <v>45806</v>
      </c>
    </row>
    <row r="1109" spans="1:16" x14ac:dyDescent="0.25">
      <c r="A1109" t="s">
        <v>313</v>
      </c>
      <c r="J1109" s="58">
        <v>45806</v>
      </c>
    </row>
    <row r="1110" spans="1:16" x14ac:dyDescent="0.25">
      <c r="A1110" t="s">
        <v>316</v>
      </c>
      <c r="L1110" s="58">
        <v>45807</v>
      </c>
    </row>
    <row r="1111" spans="1:16" x14ac:dyDescent="0.25">
      <c r="A1111" t="s">
        <v>315</v>
      </c>
      <c r="P1111" s="58">
        <v>45810</v>
      </c>
    </row>
    <row r="1112" spans="1:16" x14ac:dyDescent="0.25">
      <c r="A1112" t="s">
        <v>316</v>
      </c>
      <c r="B1112" s="62">
        <v>45810</v>
      </c>
    </row>
    <row r="1113" spans="1:16" x14ac:dyDescent="0.25">
      <c r="A1113" t="s">
        <v>315</v>
      </c>
      <c r="B1113" s="62">
        <v>45810</v>
      </c>
    </row>
    <row r="1114" spans="1:16" x14ac:dyDescent="0.25">
      <c r="A1114" t="s">
        <v>315</v>
      </c>
      <c r="B1114" s="62">
        <v>45813</v>
      </c>
    </row>
    <row r="1115" spans="1:16" x14ac:dyDescent="0.25">
      <c r="A1115" t="s">
        <v>315</v>
      </c>
      <c r="B1115" s="58">
        <v>45814</v>
      </c>
    </row>
    <row r="1116" spans="1:16" x14ac:dyDescent="0.25">
      <c r="A1116" t="s">
        <v>316</v>
      </c>
      <c r="H1116" s="58">
        <v>45814</v>
      </c>
    </row>
    <row r="1117" spans="1:16" x14ac:dyDescent="0.25">
      <c r="A1117" t="s">
        <v>322</v>
      </c>
      <c r="D1117" s="58">
        <v>45814</v>
      </c>
    </row>
    <row r="1118" spans="1:16" x14ac:dyDescent="0.25">
      <c r="A1118" t="s">
        <v>269</v>
      </c>
      <c r="F1118" s="58">
        <v>45814</v>
      </c>
    </row>
    <row r="1119" spans="1:16" x14ac:dyDescent="0.25">
      <c r="A1119" t="s">
        <v>318</v>
      </c>
      <c r="J1119" s="58">
        <v>45814</v>
      </c>
    </row>
    <row r="1120" spans="1:16" x14ac:dyDescent="0.25">
      <c r="A1120" t="s">
        <v>327</v>
      </c>
      <c r="N1120" s="58">
        <v>45817</v>
      </c>
    </row>
    <row r="1121" spans="1:19" x14ac:dyDescent="0.25">
      <c r="A1121" t="s">
        <v>324</v>
      </c>
      <c r="P1121" s="58">
        <v>45818</v>
      </c>
    </row>
    <row r="1122" spans="1:19" x14ac:dyDescent="0.25">
      <c r="A1122" t="s">
        <v>326</v>
      </c>
      <c r="B1122" s="62">
        <v>45818</v>
      </c>
    </row>
    <row r="1123" spans="1:19" x14ac:dyDescent="0.25">
      <c r="A1123" t="s">
        <v>316</v>
      </c>
      <c r="D1123" s="58">
        <v>45818</v>
      </c>
    </row>
    <row r="1124" spans="1:19" x14ac:dyDescent="0.25">
      <c r="A1124" t="s">
        <v>305</v>
      </c>
      <c r="F1124" s="58">
        <v>45819</v>
      </c>
    </row>
    <row r="1125" spans="1:19" x14ac:dyDescent="0.25">
      <c r="A1125" t="s">
        <v>306</v>
      </c>
      <c r="H1125" s="58">
        <v>45819</v>
      </c>
    </row>
    <row r="1126" spans="1:19" x14ac:dyDescent="0.25">
      <c r="A1126" t="s">
        <v>327</v>
      </c>
      <c r="J1126" s="58">
        <v>45819</v>
      </c>
    </row>
    <row r="1127" spans="1:19" x14ac:dyDescent="0.25">
      <c r="A1127" t="s">
        <v>316</v>
      </c>
      <c r="P1127" s="58">
        <v>45824</v>
      </c>
    </row>
    <row r="1128" spans="1:19" x14ac:dyDescent="0.25">
      <c r="A1128" t="s">
        <v>329</v>
      </c>
      <c r="B1128" s="62">
        <v>45827</v>
      </c>
    </row>
    <row r="1129" spans="1:19" x14ac:dyDescent="0.25">
      <c r="A1129" t="s">
        <v>316</v>
      </c>
      <c r="D1129" s="58">
        <v>45827</v>
      </c>
    </row>
    <row r="1130" spans="1:19" x14ac:dyDescent="0.25">
      <c r="A1130" t="s">
        <v>316</v>
      </c>
      <c r="F1130" s="58">
        <v>45828</v>
      </c>
    </row>
    <row r="1131" spans="1:19" x14ac:dyDescent="0.25">
      <c r="A1131" t="s">
        <v>327</v>
      </c>
      <c r="H1131" s="58">
        <v>45831</v>
      </c>
    </row>
    <row r="1132" spans="1:19" x14ac:dyDescent="0.25">
      <c r="A1132" t="s">
        <v>316</v>
      </c>
      <c r="J1132" s="58">
        <v>45831</v>
      </c>
    </row>
    <row r="1133" spans="1:19" x14ac:dyDescent="0.25">
      <c r="A1133" t="s">
        <v>315</v>
      </c>
      <c r="L1133" s="58">
        <v>45832</v>
      </c>
    </row>
    <row r="1134" spans="1:19" x14ac:dyDescent="0.25">
      <c r="A1134" t="s">
        <v>330</v>
      </c>
      <c r="B1134" s="62">
        <v>45833</v>
      </c>
      <c r="L1134" s="58"/>
    </row>
    <row r="1135" spans="1:19" x14ac:dyDescent="0.25">
      <c r="A1135" t="s">
        <v>206</v>
      </c>
      <c r="D1135" s="58">
        <v>45833</v>
      </c>
      <c r="L1135" s="58"/>
    </row>
    <row r="1136" spans="1:19" ht="18.75" x14ac:dyDescent="0.3">
      <c r="A1136" s="113" t="s">
        <v>334</v>
      </c>
      <c r="B1136" s="113"/>
      <c r="C1136" s="113"/>
      <c r="D1136" s="113"/>
      <c r="E1136" s="113"/>
      <c r="F1136" s="113"/>
      <c r="G1136" s="113"/>
      <c r="H1136" s="113"/>
      <c r="I1136" s="113"/>
      <c r="J1136" s="113"/>
      <c r="K1136" s="113"/>
      <c r="L1136" s="113"/>
      <c r="M1136" s="113"/>
      <c r="N1136" s="113"/>
      <c r="O1136" s="113"/>
      <c r="P1136" s="113"/>
      <c r="Q1136" s="113"/>
      <c r="R1136" s="113"/>
      <c r="S1136" s="113"/>
    </row>
    <row r="1137" spans="1:16" x14ac:dyDescent="0.25">
      <c r="A1137" t="s">
        <v>327</v>
      </c>
      <c r="F1137" s="58">
        <v>45835</v>
      </c>
    </row>
    <row r="1138" spans="1:16" x14ac:dyDescent="0.25">
      <c r="A1138" t="s">
        <v>315</v>
      </c>
      <c r="H1138" s="58">
        <v>45835</v>
      </c>
    </row>
    <row r="1139" spans="1:16" x14ac:dyDescent="0.25">
      <c r="A1139" t="s">
        <v>333</v>
      </c>
      <c r="J1139" s="58">
        <v>45835</v>
      </c>
    </row>
    <row r="1140" spans="1:16" x14ac:dyDescent="0.25">
      <c r="A1140" t="s">
        <v>222</v>
      </c>
      <c r="L1140" s="58">
        <v>45835</v>
      </c>
    </row>
    <row r="1141" spans="1:16" x14ac:dyDescent="0.25">
      <c r="A1141" t="s">
        <v>333</v>
      </c>
      <c r="N1141" s="58">
        <v>45838</v>
      </c>
    </row>
    <row r="1142" spans="1:16" x14ac:dyDescent="0.25">
      <c r="A1142" t="s">
        <v>305</v>
      </c>
      <c r="P1142" s="58">
        <v>45838</v>
      </c>
    </row>
    <row r="1143" spans="1:16" x14ac:dyDescent="0.25">
      <c r="A1143" t="s">
        <v>316</v>
      </c>
      <c r="B1143" s="62">
        <v>45838</v>
      </c>
    </row>
    <row r="1144" spans="1:16" x14ac:dyDescent="0.25">
      <c r="A1144" t="s">
        <v>330</v>
      </c>
      <c r="D1144" s="58">
        <v>45838</v>
      </c>
    </row>
    <row r="1145" spans="1:16" x14ac:dyDescent="0.25">
      <c r="A1145" t="s">
        <v>337</v>
      </c>
      <c r="F1145" s="58">
        <v>45840</v>
      </c>
    </row>
    <row r="1146" spans="1:16" x14ac:dyDescent="0.25">
      <c r="A1146" t="s">
        <v>315</v>
      </c>
      <c r="H1146" s="58">
        <v>45842</v>
      </c>
    </row>
    <row r="1147" spans="1:16" x14ac:dyDescent="0.25">
      <c r="A1147" t="s">
        <v>338</v>
      </c>
      <c r="J1147" s="58">
        <v>45842</v>
      </c>
      <c r="K1147" s="116" t="s">
        <v>234</v>
      </c>
      <c r="L1147" s="116"/>
      <c r="M1147" s="116"/>
    </row>
    <row r="1148" spans="1:16" x14ac:dyDescent="0.25">
      <c r="A1148" t="s">
        <v>316</v>
      </c>
      <c r="L1148" s="58">
        <v>45848</v>
      </c>
    </row>
    <row r="1149" spans="1:16" x14ac:dyDescent="0.25">
      <c r="A1149" t="s">
        <v>316</v>
      </c>
      <c r="N1149" s="58">
        <v>45849</v>
      </c>
    </row>
    <row r="1150" spans="1:16" x14ac:dyDescent="0.25">
      <c r="A1150" t="s">
        <v>306</v>
      </c>
      <c r="B1150" s="62">
        <v>45852</v>
      </c>
    </row>
    <row r="1151" spans="1:16" x14ac:dyDescent="0.25">
      <c r="A1151" t="s">
        <v>236</v>
      </c>
      <c r="D1151" s="58">
        <v>45853</v>
      </c>
    </row>
    <row r="1152" spans="1:16" x14ac:dyDescent="0.25">
      <c r="A1152" t="s">
        <v>330</v>
      </c>
      <c r="P1152" s="58">
        <v>45853</v>
      </c>
    </row>
    <row r="1153" spans="1:19" x14ac:dyDescent="0.25">
      <c r="A1153" t="s">
        <v>330</v>
      </c>
      <c r="F1153" s="58">
        <v>45855</v>
      </c>
    </row>
    <row r="1154" spans="1:19" x14ac:dyDescent="0.25">
      <c r="A1154" t="s">
        <v>330</v>
      </c>
      <c r="H1154" s="58">
        <v>45859</v>
      </c>
    </row>
    <row r="1155" spans="1:19" x14ac:dyDescent="0.25">
      <c r="A1155" t="s">
        <v>330</v>
      </c>
      <c r="J1155" s="58">
        <v>45861</v>
      </c>
    </row>
    <row r="1156" spans="1:19" x14ac:dyDescent="0.25">
      <c r="A1156" t="s">
        <v>318</v>
      </c>
      <c r="L1156" s="58">
        <v>45861</v>
      </c>
    </row>
    <row r="1157" spans="1:19" ht="18.75" x14ac:dyDescent="0.3">
      <c r="A1157" s="113" t="s">
        <v>339</v>
      </c>
      <c r="B1157" s="113"/>
      <c r="C1157" s="113"/>
      <c r="D1157" s="113"/>
      <c r="E1157" s="113"/>
      <c r="F1157" s="113"/>
      <c r="G1157" s="113"/>
      <c r="H1157" s="113"/>
      <c r="I1157" s="113"/>
      <c r="J1157" s="113"/>
      <c r="K1157" s="113"/>
      <c r="L1157" s="113"/>
      <c r="M1157" s="113"/>
      <c r="N1157" s="113"/>
      <c r="O1157" s="113"/>
      <c r="P1157" s="113"/>
      <c r="Q1157" s="113"/>
      <c r="R1157" s="113"/>
      <c r="S1157" s="113"/>
    </row>
    <row r="1158" spans="1:19" x14ac:dyDescent="0.25">
      <c r="A1158" t="s">
        <v>340</v>
      </c>
      <c r="N1158" s="58">
        <v>45866</v>
      </c>
    </row>
    <row r="1159" spans="1:19" x14ac:dyDescent="0.25">
      <c r="A1159" t="s">
        <v>305</v>
      </c>
      <c r="P1159" s="58">
        <v>45868</v>
      </c>
    </row>
    <row r="1160" spans="1:19" x14ac:dyDescent="0.25">
      <c r="A1160" t="s">
        <v>327</v>
      </c>
      <c r="D1160" s="58">
        <v>45868</v>
      </c>
    </row>
    <row r="1161" spans="1:19" x14ac:dyDescent="0.25">
      <c r="A1161" t="s">
        <v>340</v>
      </c>
      <c r="B1161" s="62">
        <v>45869</v>
      </c>
    </row>
    <row r="1162" spans="1:19" x14ac:dyDescent="0.25">
      <c r="A1162" t="s">
        <v>269</v>
      </c>
      <c r="F1162" s="58">
        <v>45870</v>
      </c>
    </row>
    <row r="1163" spans="1:19" x14ac:dyDescent="0.25">
      <c r="A1163" t="s">
        <v>236</v>
      </c>
      <c r="H1163" s="58">
        <v>45875</v>
      </c>
    </row>
    <row r="1164" spans="1:19" x14ac:dyDescent="0.25">
      <c r="A1164" t="s">
        <v>330</v>
      </c>
      <c r="H1164" s="58">
        <v>45880</v>
      </c>
    </row>
    <row r="1165" spans="1:19" x14ac:dyDescent="0.25">
      <c r="A1165" t="s">
        <v>286</v>
      </c>
      <c r="J1165" s="58">
        <v>45880</v>
      </c>
    </row>
    <row r="1166" spans="1:19" x14ac:dyDescent="0.25">
      <c r="A1166" t="s">
        <v>330</v>
      </c>
      <c r="L1166" s="58">
        <v>45881</v>
      </c>
    </row>
    <row r="1167" spans="1:19" x14ac:dyDescent="0.25">
      <c r="A1167" t="s">
        <v>327</v>
      </c>
      <c r="N1167" s="58">
        <v>45882</v>
      </c>
    </row>
    <row r="1168" spans="1:19" x14ac:dyDescent="0.25">
      <c r="A1168" t="s">
        <v>222</v>
      </c>
      <c r="P1168" s="58">
        <v>45882</v>
      </c>
    </row>
    <row r="1169" spans="1:19" x14ac:dyDescent="0.25">
      <c r="A1169" t="s">
        <v>327</v>
      </c>
      <c r="N1169" s="58">
        <v>45883</v>
      </c>
    </row>
    <row r="1170" spans="1:19" x14ac:dyDescent="0.25">
      <c r="A1170" t="s">
        <v>342</v>
      </c>
      <c r="B1170" s="62">
        <v>45884</v>
      </c>
    </row>
    <row r="1171" spans="1:19" x14ac:dyDescent="0.25">
      <c r="A1171" t="s">
        <v>236</v>
      </c>
      <c r="D1171" s="58">
        <v>45884</v>
      </c>
    </row>
    <row r="1172" spans="1:19" x14ac:dyDescent="0.25">
      <c r="A1172" t="s">
        <v>220</v>
      </c>
      <c r="F1172" s="58">
        <v>45888</v>
      </c>
    </row>
    <row r="1173" spans="1:19" x14ac:dyDescent="0.25">
      <c r="A1173" t="s">
        <v>342</v>
      </c>
      <c r="H1173" s="58">
        <v>45890</v>
      </c>
    </row>
    <row r="1174" spans="1:19" x14ac:dyDescent="0.25">
      <c r="A1174" t="s">
        <v>329</v>
      </c>
      <c r="J1174" s="58">
        <v>46987</v>
      </c>
    </row>
    <row r="1175" spans="1:19" x14ac:dyDescent="0.25">
      <c r="A1175" t="s">
        <v>330</v>
      </c>
      <c r="L1175" s="58">
        <v>45891</v>
      </c>
    </row>
    <row r="1176" spans="1:19" x14ac:dyDescent="0.25">
      <c r="A1176" t="s">
        <v>340</v>
      </c>
      <c r="N1176" s="58">
        <v>45891</v>
      </c>
    </row>
    <row r="1177" spans="1:19" x14ac:dyDescent="0.25">
      <c r="A1177" t="s">
        <v>342</v>
      </c>
      <c r="P1177" s="58">
        <v>45891</v>
      </c>
    </row>
    <row r="1178" spans="1:19" x14ac:dyDescent="0.25">
      <c r="A1178" t="s">
        <v>344</v>
      </c>
      <c r="B1178" s="62">
        <v>45894</v>
      </c>
    </row>
    <row r="1179" spans="1:19" x14ac:dyDescent="0.25">
      <c r="A1179" t="s">
        <v>346</v>
      </c>
      <c r="D1179" s="58">
        <v>45894</v>
      </c>
    </row>
    <row r="1180" spans="1:19" x14ac:dyDescent="0.25">
      <c r="A1180" t="s">
        <v>326</v>
      </c>
      <c r="F1180" s="58">
        <v>45895</v>
      </c>
    </row>
    <row r="1181" spans="1:19" ht="18.75" x14ac:dyDescent="0.3">
      <c r="A1181" s="113" t="s">
        <v>353</v>
      </c>
      <c r="B1181" s="113"/>
      <c r="C1181" s="113"/>
      <c r="D1181" s="113"/>
      <c r="E1181" s="113"/>
      <c r="F1181" s="113"/>
      <c r="G1181" s="113"/>
      <c r="H1181" s="113"/>
      <c r="I1181" s="113"/>
      <c r="J1181" s="113"/>
      <c r="K1181" s="113"/>
      <c r="L1181" s="113"/>
      <c r="M1181" s="113"/>
      <c r="N1181" s="113"/>
      <c r="O1181" s="113"/>
      <c r="P1181" s="113"/>
      <c r="Q1181" s="113"/>
      <c r="R1181" s="113"/>
      <c r="S1181" s="113"/>
    </row>
    <row r="1182" spans="1:19" x14ac:dyDescent="0.25">
      <c r="A1182" t="s">
        <v>346</v>
      </c>
      <c r="H1182" s="58">
        <v>45897</v>
      </c>
    </row>
    <row r="1183" spans="1:19" x14ac:dyDescent="0.25">
      <c r="A1183" t="s">
        <v>340</v>
      </c>
      <c r="J1183" s="58">
        <v>45897</v>
      </c>
    </row>
    <row r="1184" spans="1:19" x14ac:dyDescent="0.25">
      <c r="A1184" t="s">
        <v>342</v>
      </c>
      <c r="L1184" s="58">
        <v>45897</v>
      </c>
    </row>
    <row r="1185" spans="1:16" x14ac:dyDescent="0.25">
      <c r="A1185" t="s">
        <v>347</v>
      </c>
      <c r="N1185" s="58">
        <v>45898</v>
      </c>
    </row>
    <row r="1186" spans="1:16" x14ac:dyDescent="0.25">
      <c r="A1186" t="s">
        <v>330</v>
      </c>
      <c r="P1186" s="58">
        <v>45898</v>
      </c>
    </row>
    <row r="1187" spans="1:16" x14ac:dyDescent="0.25">
      <c r="A1187" t="s">
        <v>350</v>
      </c>
      <c r="B1187" s="62">
        <v>45904</v>
      </c>
    </row>
    <row r="1188" spans="1:16" x14ac:dyDescent="0.25">
      <c r="A1188" t="s">
        <v>340</v>
      </c>
      <c r="B1188" s="62" t="s">
        <v>209</v>
      </c>
      <c r="D1188" s="58">
        <v>45905</v>
      </c>
    </row>
    <row r="1189" spans="1:16" x14ac:dyDescent="0.25">
      <c r="A1189" t="s">
        <v>326</v>
      </c>
      <c r="F1189" s="58">
        <v>45905</v>
      </c>
      <c r="G1189" s="128" t="s">
        <v>351</v>
      </c>
      <c r="H1189" s="128"/>
      <c r="I1189" s="128"/>
      <c r="J1189" s="128"/>
    </row>
    <row r="1190" spans="1:16" x14ac:dyDescent="0.25">
      <c r="A1190" t="s">
        <v>330</v>
      </c>
      <c r="H1190" s="58">
        <v>45909</v>
      </c>
    </row>
    <row r="1191" spans="1:16" x14ac:dyDescent="0.25">
      <c r="A1191" t="s">
        <v>340</v>
      </c>
      <c r="J1191" s="58">
        <v>45911</v>
      </c>
      <c r="K1191" s="116" t="s">
        <v>293</v>
      </c>
      <c r="L1191" s="116"/>
      <c r="M1191" s="116"/>
    </row>
    <row r="1192" spans="1:16" x14ac:dyDescent="0.25">
      <c r="A1192" t="s">
        <v>344</v>
      </c>
      <c r="L1192" s="58">
        <v>45912</v>
      </c>
    </row>
    <row r="1193" spans="1:16" x14ac:dyDescent="0.25">
      <c r="A1193" t="s">
        <v>344</v>
      </c>
      <c r="N1193" s="58">
        <v>45912</v>
      </c>
    </row>
    <row r="1194" spans="1:16" x14ac:dyDescent="0.25">
      <c r="A1194" t="s">
        <v>326</v>
      </c>
      <c r="P1194" s="58">
        <v>45912</v>
      </c>
    </row>
    <row r="1195" spans="1:16" x14ac:dyDescent="0.25">
      <c r="A1195" t="s">
        <v>342</v>
      </c>
      <c r="P1195" s="58">
        <v>45917</v>
      </c>
    </row>
    <row r="1196" spans="1:16" x14ac:dyDescent="0.25">
      <c r="A1196" t="s">
        <v>352</v>
      </c>
      <c r="B1196" s="62">
        <v>45917</v>
      </c>
    </row>
    <row r="1197" spans="1:16" x14ac:dyDescent="0.25">
      <c r="A1197" t="s">
        <v>236</v>
      </c>
      <c r="D1197" s="58">
        <v>45917</v>
      </c>
    </row>
    <row r="1198" spans="1:16" x14ac:dyDescent="0.25">
      <c r="A1198" t="s">
        <v>333</v>
      </c>
      <c r="F1198" s="58">
        <v>45918</v>
      </c>
    </row>
    <row r="1199" spans="1:16" x14ac:dyDescent="0.25">
      <c r="A1199" t="s">
        <v>236</v>
      </c>
      <c r="H1199" s="58">
        <v>45918</v>
      </c>
    </row>
    <row r="1200" spans="1:16" x14ac:dyDescent="0.25">
      <c r="A1200" t="s">
        <v>340</v>
      </c>
      <c r="J1200" s="58">
        <v>45919</v>
      </c>
    </row>
    <row r="1201" spans="1:19" x14ac:dyDescent="0.25">
      <c r="A1201" t="s">
        <v>305</v>
      </c>
      <c r="L1201" s="58">
        <v>45923</v>
      </c>
    </row>
    <row r="1202" spans="1:19" x14ac:dyDescent="0.25">
      <c r="A1202" t="s">
        <v>346</v>
      </c>
      <c r="N1202" s="58">
        <v>45923</v>
      </c>
      <c r="O1202" s="128" t="s">
        <v>293</v>
      </c>
      <c r="P1202" s="128"/>
      <c r="Q1202" s="128"/>
    </row>
    <row r="1203" spans="1:19" x14ac:dyDescent="0.25">
      <c r="A1203" t="s">
        <v>347</v>
      </c>
      <c r="P1203" s="58">
        <v>45925</v>
      </c>
    </row>
    <row r="1204" spans="1:19" x14ac:dyDescent="0.25">
      <c r="A1204" t="s">
        <v>347</v>
      </c>
      <c r="B1204" s="62">
        <v>45929</v>
      </c>
    </row>
    <row r="1205" spans="1:19" x14ac:dyDescent="0.25">
      <c r="A1205" t="s">
        <v>342</v>
      </c>
      <c r="D1205" s="58">
        <v>45929</v>
      </c>
    </row>
    <row r="1206" spans="1:19" x14ac:dyDescent="0.25">
      <c r="A1206" t="s">
        <v>333</v>
      </c>
      <c r="F1206" s="58">
        <v>45929</v>
      </c>
    </row>
    <row r="1207" spans="1:19" ht="18.75" x14ac:dyDescent="0.3">
      <c r="A1207" s="113" t="s">
        <v>354</v>
      </c>
      <c r="B1207" s="113"/>
      <c r="C1207" s="113"/>
      <c r="D1207" s="113"/>
      <c r="E1207" s="113"/>
      <c r="F1207" s="113"/>
      <c r="G1207" s="113"/>
      <c r="H1207" s="113"/>
      <c r="I1207" s="113"/>
      <c r="J1207" s="113"/>
      <c r="K1207" s="113"/>
      <c r="L1207" s="113"/>
      <c r="M1207" s="113"/>
      <c r="N1207" s="113"/>
      <c r="O1207" s="113"/>
      <c r="P1207" s="113"/>
      <c r="Q1207" s="113"/>
      <c r="R1207" s="113"/>
      <c r="S1207" s="113"/>
    </row>
    <row r="1208" spans="1:19" x14ac:dyDescent="0.25">
      <c r="A1208" t="s">
        <v>206</v>
      </c>
      <c r="H1208" s="58">
        <v>45930</v>
      </c>
    </row>
    <row r="1209" spans="1:19" x14ac:dyDescent="0.25">
      <c r="A1209" t="s">
        <v>344</v>
      </c>
      <c r="J1209" s="58">
        <v>45930</v>
      </c>
    </row>
    <row r="1210" spans="1:19" x14ac:dyDescent="0.25">
      <c r="A1210" t="s">
        <v>330</v>
      </c>
      <c r="L1210" s="58">
        <v>45931</v>
      </c>
    </row>
    <row r="1211" spans="1:19" x14ac:dyDescent="0.25">
      <c r="A1211" t="s">
        <v>330</v>
      </c>
      <c r="N1211" s="58">
        <v>45933</v>
      </c>
    </row>
    <row r="1212" spans="1:19" x14ac:dyDescent="0.25">
      <c r="A1212" t="s">
        <v>286</v>
      </c>
      <c r="P1212" s="58">
        <v>45933</v>
      </c>
    </row>
    <row r="1213" spans="1:19" x14ac:dyDescent="0.25">
      <c r="A1213" t="s">
        <v>356</v>
      </c>
      <c r="B1213" s="62">
        <v>45937</v>
      </c>
    </row>
    <row r="1214" spans="1:19" x14ac:dyDescent="0.25">
      <c r="A1214" t="s">
        <v>220</v>
      </c>
      <c r="D1214" s="58">
        <v>45938</v>
      </c>
    </row>
    <row r="1215" spans="1:19" x14ac:dyDescent="0.25">
      <c r="A1215" t="s">
        <v>356</v>
      </c>
      <c r="F1215" s="58">
        <v>45944</v>
      </c>
    </row>
    <row r="1216" spans="1:19" x14ac:dyDescent="0.25">
      <c r="A1216" t="s">
        <v>236</v>
      </c>
      <c r="H1216" s="58">
        <v>45952</v>
      </c>
    </row>
    <row r="1217" spans="1:19" x14ac:dyDescent="0.25">
      <c r="A1217" t="s">
        <v>340</v>
      </c>
      <c r="J1217" s="58">
        <v>45952</v>
      </c>
    </row>
    <row r="1218" spans="1:19" x14ac:dyDescent="0.25">
      <c r="A1218" t="s">
        <v>347</v>
      </c>
      <c r="L1218" s="58">
        <v>45953</v>
      </c>
    </row>
    <row r="1219" spans="1:19" x14ac:dyDescent="0.25">
      <c r="A1219" t="s">
        <v>318</v>
      </c>
      <c r="N1219" s="58">
        <v>45954</v>
      </c>
    </row>
    <row r="1220" spans="1:19" x14ac:dyDescent="0.25">
      <c r="A1220" t="s">
        <v>340</v>
      </c>
      <c r="P1220" s="58">
        <v>45955</v>
      </c>
    </row>
    <row r="1221" spans="1:19" ht="18.75" x14ac:dyDescent="0.3">
      <c r="A1221" s="113" t="s">
        <v>359</v>
      </c>
      <c r="B1221" s="113"/>
      <c r="C1221" s="113"/>
      <c r="D1221" s="113"/>
      <c r="E1221" s="113"/>
      <c r="F1221" s="113"/>
      <c r="G1221" s="113"/>
      <c r="H1221" s="113"/>
      <c r="I1221" s="113"/>
      <c r="J1221" s="113"/>
      <c r="K1221" s="113"/>
      <c r="L1221" s="113"/>
      <c r="M1221" s="113"/>
      <c r="N1221" s="113"/>
      <c r="O1221" s="113"/>
      <c r="P1221" s="113"/>
      <c r="Q1221" s="113"/>
      <c r="R1221" s="113"/>
      <c r="S1221" s="113"/>
    </row>
    <row r="1222" spans="1:19" x14ac:dyDescent="0.25">
      <c r="A1222" t="s">
        <v>236</v>
      </c>
      <c r="B1222" s="62">
        <v>45958</v>
      </c>
    </row>
    <row r="1223" spans="1:19" x14ac:dyDescent="0.25">
      <c r="A1223" t="s">
        <v>340</v>
      </c>
      <c r="D1223" s="58">
        <v>45959</v>
      </c>
    </row>
    <row r="1224" spans="1:19" x14ac:dyDescent="0.25">
      <c r="A1224" t="s">
        <v>360</v>
      </c>
      <c r="F1224" s="58">
        <v>45960</v>
      </c>
    </row>
    <row r="1225" spans="1:19" x14ac:dyDescent="0.25">
      <c r="A1225" t="s">
        <v>350</v>
      </c>
      <c r="H1225" s="58">
        <v>45960</v>
      </c>
    </row>
    <row r="1226" spans="1:19" x14ac:dyDescent="0.25">
      <c r="A1226" t="s">
        <v>356</v>
      </c>
      <c r="J1226" s="58">
        <v>45961</v>
      </c>
    </row>
    <row r="1227" spans="1:19" x14ac:dyDescent="0.25">
      <c r="A1227" t="s">
        <v>362</v>
      </c>
      <c r="N1227" s="58">
        <v>45964</v>
      </c>
    </row>
    <row r="1228" spans="1:19" x14ac:dyDescent="0.25">
      <c r="A1228" t="s">
        <v>347</v>
      </c>
      <c r="P1228" s="58">
        <v>45967</v>
      </c>
    </row>
    <row r="1229" spans="1:19" x14ac:dyDescent="0.25">
      <c r="A1229" t="s">
        <v>360</v>
      </c>
      <c r="B1229" s="62">
        <v>45956</v>
      </c>
      <c r="P1229" s="58"/>
    </row>
    <row r="1230" spans="1:19" x14ac:dyDescent="0.25">
      <c r="A1230" t="s">
        <v>362</v>
      </c>
      <c r="F1230" s="58">
        <v>45971</v>
      </c>
    </row>
    <row r="1231" spans="1:19" x14ac:dyDescent="0.25">
      <c r="A1231" t="s">
        <v>222</v>
      </c>
      <c r="H1231" s="58">
        <v>45972</v>
      </c>
    </row>
    <row r="1232" spans="1:19" x14ac:dyDescent="0.25">
      <c r="A1232" t="s">
        <v>340</v>
      </c>
      <c r="J1232" s="58">
        <v>45974</v>
      </c>
    </row>
    <row r="1233" spans="1:19" x14ac:dyDescent="0.25">
      <c r="A1233" t="s">
        <v>360</v>
      </c>
      <c r="L1233" s="58">
        <v>45975</v>
      </c>
    </row>
    <row r="1234" spans="1:19" x14ac:dyDescent="0.25">
      <c r="A1234" t="s">
        <v>340</v>
      </c>
      <c r="N1234" s="58">
        <v>45979</v>
      </c>
    </row>
    <row r="1235" spans="1:19" x14ac:dyDescent="0.25">
      <c r="A1235" t="s">
        <v>356</v>
      </c>
      <c r="P1235" s="58">
        <v>45982</v>
      </c>
    </row>
    <row r="1236" spans="1:19" x14ac:dyDescent="0.25">
      <c r="A1236" t="s">
        <v>356</v>
      </c>
      <c r="B1236" s="62">
        <v>45985</v>
      </c>
    </row>
    <row r="1237" spans="1:19" x14ac:dyDescent="0.25">
      <c r="A1237" t="s">
        <v>362</v>
      </c>
      <c r="F1237" s="58">
        <v>45985</v>
      </c>
    </row>
    <row r="1238" spans="1:19" x14ac:dyDescent="0.25">
      <c r="A1238" t="s">
        <v>340</v>
      </c>
      <c r="J1238" s="58">
        <v>45989</v>
      </c>
    </row>
    <row r="1239" spans="1:19" x14ac:dyDescent="0.25">
      <c r="A1239" t="s">
        <v>360</v>
      </c>
      <c r="L1239" s="58">
        <v>45989</v>
      </c>
    </row>
    <row r="1240" spans="1:19" ht="18.75" x14ac:dyDescent="0.3">
      <c r="A1240" s="113" t="s">
        <v>363</v>
      </c>
      <c r="B1240" s="113"/>
      <c r="C1240" s="113"/>
      <c r="D1240" s="113"/>
      <c r="E1240" s="113"/>
      <c r="F1240" s="113"/>
      <c r="G1240" s="113"/>
      <c r="H1240" s="113"/>
      <c r="I1240" s="113"/>
      <c r="J1240" s="113"/>
      <c r="K1240" s="113"/>
      <c r="L1240" s="113"/>
      <c r="M1240" s="113"/>
      <c r="N1240" s="113"/>
      <c r="O1240" s="113"/>
      <c r="P1240" s="113"/>
      <c r="Q1240" s="113"/>
      <c r="R1240" s="113"/>
      <c r="S1240" s="113"/>
    </row>
    <row r="1241" spans="1:19" x14ac:dyDescent="0.25">
      <c r="A1241" t="s">
        <v>236</v>
      </c>
      <c r="N1241" s="58">
        <v>45992</v>
      </c>
    </row>
    <row r="1242" spans="1:19" x14ac:dyDescent="0.25">
      <c r="A1242" t="s">
        <v>347</v>
      </c>
      <c r="F1242" s="58">
        <v>45993</v>
      </c>
    </row>
    <row r="1243" spans="1:19" x14ac:dyDescent="0.25">
      <c r="A1243" t="s">
        <v>346</v>
      </c>
      <c r="H1243" s="58">
        <v>45993</v>
      </c>
    </row>
    <row r="1244" spans="1:19" x14ac:dyDescent="0.25">
      <c r="A1244" t="s">
        <v>220</v>
      </c>
      <c r="J1244" s="58">
        <v>45993</v>
      </c>
    </row>
    <row r="1245" spans="1:19" x14ac:dyDescent="0.25">
      <c r="A1245" t="s">
        <v>362</v>
      </c>
      <c r="J1245" s="58">
        <v>45996</v>
      </c>
    </row>
    <row r="1246" spans="1:19" x14ac:dyDescent="0.25">
      <c r="A1246" t="s">
        <v>356</v>
      </c>
      <c r="L1246" s="58">
        <v>45999</v>
      </c>
    </row>
    <row r="1247" spans="1:19" x14ac:dyDescent="0.25">
      <c r="A1247" t="s">
        <v>236</v>
      </c>
      <c r="N1247" s="58">
        <v>45999</v>
      </c>
    </row>
    <row r="1248" spans="1:19" x14ac:dyDescent="0.25">
      <c r="A1248" t="s">
        <v>206</v>
      </c>
      <c r="P1248" s="58">
        <v>46000</v>
      </c>
    </row>
    <row r="1249" spans="1:19" x14ac:dyDescent="0.25">
      <c r="A1249" t="s">
        <v>365</v>
      </c>
      <c r="F1249" s="58">
        <v>46001</v>
      </c>
    </row>
    <row r="1250" spans="1:19" x14ac:dyDescent="0.25">
      <c r="A1250" t="s">
        <v>305</v>
      </c>
      <c r="H1250" s="58">
        <v>46003</v>
      </c>
    </row>
    <row r="1251" spans="1:19" x14ac:dyDescent="0.25">
      <c r="A1251" t="s">
        <v>356</v>
      </c>
      <c r="P1251" s="58">
        <v>46009</v>
      </c>
    </row>
    <row r="1252" spans="1:19" x14ac:dyDescent="0.25">
      <c r="A1252" t="s">
        <v>342</v>
      </c>
      <c r="B1252" s="62">
        <v>46009</v>
      </c>
    </row>
    <row r="1253" spans="1:19" x14ac:dyDescent="0.25">
      <c r="A1253" t="s">
        <v>356</v>
      </c>
      <c r="D1253" s="58">
        <v>46010</v>
      </c>
    </row>
    <row r="1254" spans="1:19" x14ac:dyDescent="0.25">
      <c r="A1254" t="s">
        <v>342</v>
      </c>
      <c r="F1254" s="58">
        <v>46010</v>
      </c>
    </row>
    <row r="1255" spans="1:19" x14ac:dyDescent="0.25">
      <c r="A1255" t="s">
        <v>360</v>
      </c>
      <c r="L1255" s="58">
        <v>46010</v>
      </c>
    </row>
    <row r="1256" spans="1:19" x14ac:dyDescent="0.25">
      <c r="A1256" t="s">
        <v>340</v>
      </c>
      <c r="J1256" s="58">
        <v>46010</v>
      </c>
    </row>
    <row r="1257" spans="1:19" x14ac:dyDescent="0.25">
      <c r="A1257" t="s">
        <v>367</v>
      </c>
      <c r="F1257" s="58">
        <v>46030</v>
      </c>
    </row>
    <row r="1258" spans="1:19" x14ac:dyDescent="0.25">
      <c r="A1258" t="s">
        <v>356</v>
      </c>
      <c r="H1258" s="58">
        <v>46035</v>
      </c>
    </row>
    <row r="1259" spans="1:19" x14ac:dyDescent="0.25">
      <c r="A1259" t="s">
        <v>356</v>
      </c>
      <c r="F1259" s="58">
        <v>46043</v>
      </c>
    </row>
    <row r="1260" spans="1:19" x14ac:dyDescent="0.25">
      <c r="A1260" t="s">
        <v>365</v>
      </c>
      <c r="J1260" s="58">
        <v>46044</v>
      </c>
    </row>
    <row r="1261" spans="1:19" x14ac:dyDescent="0.25">
      <c r="A1261" t="s">
        <v>356</v>
      </c>
      <c r="F1261" s="58">
        <v>46044</v>
      </c>
    </row>
    <row r="1262" spans="1:19" ht="18.75" x14ac:dyDescent="0.3">
      <c r="A1262" s="113" t="s">
        <v>382</v>
      </c>
      <c r="B1262" s="113"/>
      <c r="C1262" s="113"/>
      <c r="D1262" s="113"/>
      <c r="E1262" s="113"/>
      <c r="F1262" s="113"/>
      <c r="G1262" s="113"/>
      <c r="H1262" s="113"/>
      <c r="I1262" s="113"/>
      <c r="J1262" s="113"/>
      <c r="K1262" s="113"/>
      <c r="L1262" s="113"/>
      <c r="M1262" s="113"/>
      <c r="N1262" s="113"/>
      <c r="O1262" s="113"/>
      <c r="P1262" s="113"/>
      <c r="Q1262" s="113"/>
      <c r="R1262" s="113"/>
      <c r="S1262" s="113"/>
    </row>
    <row r="1263" spans="1:19" x14ac:dyDescent="0.25">
      <c r="A1263" t="s">
        <v>381</v>
      </c>
      <c r="L1263" s="58">
        <v>46045</v>
      </c>
    </row>
    <row r="1264" spans="1:19" x14ac:dyDescent="0.25">
      <c r="A1264" t="s">
        <v>222</v>
      </c>
      <c r="J1264" s="58">
        <v>46045</v>
      </c>
    </row>
    <row r="1265" spans="1:19" x14ac:dyDescent="0.25">
      <c r="A1265" t="s">
        <v>356</v>
      </c>
      <c r="P1265" s="58">
        <v>46048</v>
      </c>
      <c r="Q1265" s="65" t="s">
        <v>388</v>
      </c>
      <c r="R1265" s="65"/>
      <c r="S1265" s="65"/>
    </row>
    <row r="1266" spans="1:19" x14ac:dyDescent="0.25">
      <c r="A1266" t="s">
        <v>236</v>
      </c>
      <c r="B1266" s="62">
        <v>46050</v>
      </c>
    </row>
    <row r="1267" spans="1:19" x14ac:dyDescent="0.25">
      <c r="A1267" t="s">
        <v>326</v>
      </c>
      <c r="F1267" s="58">
        <v>46052</v>
      </c>
    </row>
    <row r="1268" spans="1:19" x14ac:dyDescent="0.25">
      <c r="A1268" t="s">
        <v>356</v>
      </c>
      <c r="J1268" s="58">
        <v>46064</v>
      </c>
    </row>
    <row r="1269" spans="1:19" x14ac:dyDescent="0.25">
      <c r="A1269" t="s">
        <v>386</v>
      </c>
      <c r="L1269" s="58">
        <v>46065</v>
      </c>
    </row>
    <row r="1270" spans="1:19" x14ac:dyDescent="0.25">
      <c r="A1270" t="s">
        <v>360</v>
      </c>
      <c r="B1270" s="62">
        <v>46071</v>
      </c>
      <c r="C1270" s="65" t="s">
        <v>234</v>
      </c>
      <c r="D1270" s="65"/>
      <c r="E1270" s="65"/>
    </row>
    <row r="1271" spans="1:19" x14ac:dyDescent="0.25">
      <c r="A1271" t="s">
        <v>222</v>
      </c>
      <c r="F1271" s="62">
        <v>46071</v>
      </c>
    </row>
    <row r="1272" spans="1:19" x14ac:dyDescent="0.25">
      <c r="A1272" t="s">
        <v>236</v>
      </c>
      <c r="H1272" s="58">
        <v>46071</v>
      </c>
    </row>
    <row r="1273" spans="1:19" x14ac:dyDescent="0.25">
      <c r="A1273" t="s">
        <v>356</v>
      </c>
      <c r="J1273" s="58">
        <v>46071</v>
      </c>
      <c r="K1273" s="65" t="s">
        <v>390</v>
      </c>
      <c r="L1273" s="65"/>
      <c r="M1273" s="65"/>
    </row>
    <row r="1274" spans="1:19" x14ac:dyDescent="0.25">
      <c r="A1274" t="s">
        <v>386</v>
      </c>
      <c r="L1274" s="58">
        <v>46072</v>
      </c>
    </row>
    <row r="1275" spans="1:19" x14ac:dyDescent="0.25">
      <c r="A1275" t="s">
        <v>340</v>
      </c>
      <c r="N1275" s="58">
        <v>46072</v>
      </c>
    </row>
    <row r="1276" spans="1:19" x14ac:dyDescent="0.25">
      <c r="A1276" t="s">
        <v>362</v>
      </c>
      <c r="P1276" s="58">
        <v>46073</v>
      </c>
    </row>
    <row r="1277" spans="1:19" x14ac:dyDescent="0.25">
      <c r="A1277" t="s">
        <v>356</v>
      </c>
      <c r="F1277" s="58">
        <v>46076</v>
      </c>
    </row>
    <row r="1278" spans="1:19" x14ac:dyDescent="0.25">
      <c r="A1278" t="s">
        <v>352</v>
      </c>
      <c r="H1278" s="58">
        <v>46076</v>
      </c>
    </row>
    <row r="1279" spans="1:19" ht="18.75" x14ac:dyDescent="0.3">
      <c r="A1279" s="113" t="s">
        <v>391</v>
      </c>
      <c r="B1279" s="113"/>
      <c r="C1279" s="113"/>
      <c r="D1279" s="113"/>
      <c r="E1279" s="113"/>
      <c r="F1279" s="113"/>
      <c r="G1279" s="113"/>
      <c r="H1279" s="113"/>
      <c r="I1279" s="113"/>
      <c r="J1279" s="113"/>
      <c r="K1279" s="113"/>
      <c r="L1279" s="113"/>
      <c r="M1279" s="113"/>
      <c r="N1279" s="113"/>
      <c r="O1279" s="113"/>
      <c r="P1279" s="113"/>
      <c r="Q1279" s="113"/>
      <c r="R1279" s="113"/>
      <c r="S1279" s="113"/>
    </row>
    <row r="1280" spans="1:19" x14ac:dyDescent="0.25">
      <c r="A1280" t="s">
        <v>360</v>
      </c>
      <c r="D1280" s="58">
        <v>46077</v>
      </c>
    </row>
    <row r="1281" spans="1:16" x14ac:dyDescent="0.25">
      <c r="A1281" t="s">
        <v>381</v>
      </c>
      <c r="J1281" s="58">
        <v>46077</v>
      </c>
    </row>
    <row r="1282" spans="1:16" x14ac:dyDescent="0.25">
      <c r="A1282" t="s">
        <v>340</v>
      </c>
      <c r="L1282" s="58">
        <v>46077</v>
      </c>
    </row>
    <row r="1283" spans="1:16" x14ac:dyDescent="0.25">
      <c r="A1283" t="s">
        <v>360</v>
      </c>
      <c r="N1283" s="58">
        <v>46079</v>
      </c>
    </row>
    <row r="1284" spans="1:16" x14ac:dyDescent="0.25">
      <c r="A1284" t="s">
        <v>206</v>
      </c>
    </row>
    <row r="1285" spans="1:16" x14ac:dyDescent="0.25">
      <c r="A1285" t="s">
        <v>393</v>
      </c>
      <c r="P1285" s="58">
        <v>46079</v>
      </c>
    </row>
    <row r="1286" spans="1:16" x14ac:dyDescent="0.25">
      <c r="A1286" t="s">
        <v>330</v>
      </c>
      <c r="B1286" s="62">
        <v>46080</v>
      </c>
    </row>
    <row r="1287" spans="1:16" x14ac:dyDescent="0.25">
      <c r="A1287" t="s">
        <v>360</v>
      </c>
      <c r="D1287" s="58">
        <v>46080</v>
      </c>
    </row>
    <row r="1288" spans="1:16" x14ac:dyDescent="0.25">
      <c r="A1288" t="s">
        <v>340</v>
      </c>
      <c r="F1288" s="58">
        <v>46080</v>
      </c>
    </row>
    <row r="1289" spans="1:16" x14ac:dyDescent="0.25">
      <c r="A1289" t="s">
        <v>356</v>
      </c>
      <c r="H1289" s="58">
        <v>46083</v>
      </c>
    </row>
    <row r="1290" spans="1:16" x14ac:dyDescent="0.25">
      <c r="A1290" t="s">
        <v>356</v>
      </c>
      <c r="J1290" s="58">
        <v>46084</v>
      </c>
    </row>
    <row r="1291" spans="1:16" x14ac:dyDescent="0.25">
      <c r="A1291" t="s">
        <v>352</v>
      </c>
      <c r="L1291" s="58">
        <v>46092</v>
      </c>
    </row>
    <row r="1292" spans="1:16" x14ac:dyDescent="0.25">
      <c r="A1292" t="s">
        <v>318</v>
      </c>
      <c r="N1292" s="58">
        <v>46092</v>
      </c>
    </row>
    <row r="1293" spans="1:16" x14ac:dyDescent="0.25">
      <c r="A1293" t="s">
        <v>356</v>
      </c>
      <c r="P1293" s="58">
        <v>46092</v>
      </c>
    </row>
    <row r="1294" spans="1:16" x14ac:dyDescent="0.25">
      <c r="A1294" t="s">
        <v>365</v>
      </c>
      <c r="B1294" s="62">
        <v>46093</v>
      </c>
    </row>
    <row r="1295" spans="1:16" x14ac:dyDescent="0.25">
      <c r="A1295" t="s">
        <v>356</v>
      </c>
      <c r="D1295" s="58">
        <v>46094</v>
      </c>
    </row>
    <row r="1296" spans="1:16" x14ac:dyDescent="0.25">
      <c r="A1296" t="s">
        <v>394</v>
      </c>
      <c r="F1296" s="58">
        <v>46098</v>
      </c>
    </row>
    <row r="1297" spans="1:19" x14ac:dyDescent="0.25">
      <c r="A1297" t="s">
        <v>342</v>
      </c>
      <c r="H1297" s="58">
        <v>46100</v>
      </c>
    </row>
    <row r="1298" spans="1:19" x14ac:dyDescent="0.25">
      <c r="A1298" t="s">
        <v>356</v>
      </c>
      <c r="J1298" s="58">
        <v>46104</v>
      </c>
    </row>
    <row r="1299" spans="1:19" ht="18.75" x14ac:dyDescent="0.3">
      <c r="A1299" s="113" t="s">
        <v>395</v>
      </c>
      <c r="B1299" s="113"/>
      <c r="C1299" s="113"/>
      <c r="D1299" s="113"/>
      <c r="E1299" s="113"/>
      <c r="F1299" s="113"/>
      <c r="G1299" s="113"/>
      <c r="H1299" s="113"/>
      <c r="I1299" s="113"/>
      <c r="J1299" s="113"/>
      <c r="K1299" s="113"/>
      <c r="L1299" s="113"/>
      <c r="M1299" s="113"/>
      <c r="N1299" s="113"/>
      <c r="O1299" s="113"/>
      <c r="P1299" s="113"/>
      <c r="Q1299" s="113"/>
      <c r="R1299" s="113"/>
      <c r="S1299" s="113"/>
    </row>
    <row r="1300" spans="1:19" x14ac:dyDescent="0.25">
      <c r="A1300" t="s">
        <v>386</v>
      </c>
      <c r="L1300" s="58">
        <v>46105</v>
      </c>
      <c r="M1300" s="65" t="s">
        <v>388</v>
      </c>
      <c r="N1300" s="65"/>
      <c r="O1300" s="65"/>
    </row>
    <row r="1301" spans="1:19" x14ac:dyDescent="0.25">
      <c r="A1301" t="s">
        <v>381</v>
      </c>
      <c r="N1301" s="58">
        <v>46105</v>
      </c>
    </row>
    <row r="1302" spans="1:19" x14ac:dyDescent="0.25">
      <c r="A1302" t="s">
        <v>222</v>
      </c>
      <c r="B1302" s="62">
        <v>46106</v>
      </c>
    </row>
    <row r="1303" spans="1:19" x14ac:dyDescent="0.25">
      <c r="A1303" t="s">
        <v>318</v>
      </c>
      <c r="B1303" s="62">
        <v>46107</v>
      </c>
    </row>
    <row r="1304" spans="1:19" x14ac:dyDescent="0.25">
      <c r="A1304" t="s">
        <v>356</v>
      </c>
      <c r="D1304" s="58">
        <v>46107</v>
      </c>
    </row>
    <row r="1305" spans="1:19" x14ac:dyDescent="0.25">
      <c r="A1305" t="s">
        <v>342</v>
      </c>
      <c r="F1305" s="58">
        <v>46108</v>
      </c>
    </row>
    <row r="1306" spans="1:19" x14ac:dyDescent="0.25">
      <c r="A1306" t="s">
        <v>340</v>
      </c>
      <c r="J1306" s="58">
        <v>46108</v>
      </c>
    </row>
    <row r="1307" spans="1:19" x14ac:dyDescent="0.25">
      <c r="A1307" t="s">
        <v>356</v>
      </c>
      <c r="L1307" s="58">
        <v>46112</v>
      </c>
    </row>
    <row r="1308" spans="1:19" x14ac:dyDescent="0.25">
      <c r="A1308" t="s">
        <v>360</v>
      </c>
      <c r="N1308" s="58">
        <v>46112</v>
      </c>
    </row>
    <row r="1309" spans="1:19" x14ac:dyDescent="0.25">
      <c r="A1309" t="s">
        <v>404</v>
      </c>
      <c r="B1309" s="58">
        <v>46118</v>
      </c>
    </row>
    <row r="1310" spans="1:19" x14ac:dyDescent="0.25">
      <c r="A1310" t="s">
        <v>340</v>
      </c>
      <c r="P1310" s="58">
        <v>46121</v>
      </c>
    </row>
    <row r="1311" spans="1:19" x14ac:dyDescent="0.25">
      <c r="A1311" t="s">
        <v>362</v>
      </c>
      <c r="D1311" s="58">
        <v>46125</v>
      </c>
    </row>
    <row r="1312" spans="1:19" x14ac:dyDescent="0.25">
      <c r="A1312" t="s">
        <v>360</v>
      </c>
      <c r="F1312" s="58">
        <v>46126</v>
      </c>
    </row>
    <row r="1313" spans="1:19" x14ac:dyDescent="0.25">
      <c r="A1313" t="s">
        <v>340</v>
      </c>
      <c r="H1313" s="58">
        <v>46126</v>
      </c>
    </row>
    <row r="1314" spans="1:19" x14ac:dyDescent="0.25">
      <c r="A1314" t="s">
        <v>356</v>
      </c>
      <c r="J1314" s="58">
        <v>46127</v>
      </c>
    </row>
    <row r="1315" spans="1:19" x14ac:dyDescent="0.25">
      <c r="A1315" t="s">
        <v>360</v>
      </c>
      <c r="L1315" s="58">
        <v>46127</v>
      </c>
    </row>
    <row r="1316" spans="1:19" x14ac:dyDescent="0.25">
      <c r="A1316" t="s">
        <v>222</v>
      </c>
      <c r="N1316" s="58">
        <v>46128</v>
      </c>
    </row>
    <row r="1317" spans="1:19" x14ac:dyDescent="0.25">
      <c r="A1317" t="s">
        <v>356</v>
      </c>
      <c r="P1317" s="58">
        <v>46132</v>
      </c>
    </row>
    <row r="1318" spans="1:19" x14ac:dyDescent="0.25">
      <c r="A1318" t="s">
        <v>394</v>
      </c>
      <c r="B1318" s="62">
        <v>46134</v>
      </c>
    </row>
    <row r="1319" spans="1:19" x14ac:dyDescent="0.25">
      <c r="A1319" t="s">
        <v>404</v>
      </c>
      <c r="F1319" s="58">
        <v>46134</v>
      </c>
    </row>
    <row r="1320" spans="1:19" ht="18.75" x14ac:dyDescent="0.3">
      <c r="A1320" s="113" t="s">
        <v>409</v>
      </c>
      <c r="B1320" s="113"/>
      <c r="C1320" s="113"/>
      <c r="D1320" s="113"/>
      <c r="E1320" s="113"/>
      <c r="F1320" s="113"/>
      <c r="G1320" s="113"/>
      <c r="H1320" s="113"/>
      <c r="I1320" s="113"/>
      <c r="J1320" s="113"/>
      <c r="K1320" s="113"/>
      <c r="L1320" s="113"/>
      <c r="M1320" s="113"/>
      <c r="N1320" s="113"/>
      <c r="O1320" s="113"/>
      <c r="P1320" s="113"/>
      <c r="Q1320" s="113"/>
      <c r="R1320" s="113"/>
      <c r="S1320" s="113"/>
    </row>
    <row r="1321" spans="1:19" x14ac:dyDescent="0.25">
      <c r="A1321" t="s">
        <v>340</v>
      </c>
      <c r="H1321" s="58">
        <v>46135</v>
      </c>
    </row>
    <row r="1322" spans="1:19" x14ac:dyDescent="0.25">
      <c r="A1322" t="s">
        <v>406</v>
      </c>
      <c r="F1322" s="58">
        <v>46134</v>
      </c>
    </row>
    <row r="1323" spans="1:19" x14ac:dyDescent="0.25">
      <c r="A1323" t="s">
        <v>330</v>
      </c>
      <c r="J1323" s="58">
        <v>46136</v>
      </c>
    </row>
    <row r="1324" spans="1:19" x14ac:dyDescent="0.25">
      <c r="A1324" t="s">
        <v>333</v>
      </c>
      <c r="L1324" s="58">
        <v>38834</v>
      </c>
    </row>
    <row r="1325" spans="1:19" x14ac:dyDescent="0.25">
      <c r="A1325" t="s">
        <v>406</v>
      </c>
      <c r="N1325" s="58">
        <v>46140</v>
      </c>
    </row>
    <row r="1326" spans="1:19" x14ac:dyDescent="0.25">
      <c r="A1326" t="s">
        <v>393</v>
      </c>
      <c r="P1326" s="58">
        <v>46140</v>
      </c>
    </row>
    <row r="1327" spans="1:19" x14ac:dyDescent="0.25">
      <c r="A1327" t="s">
        <v>340</v>
      </c>
      <c r="B1327" s="62">
        <v>46141</v>
      </c>
    </row>
    <row r="1328" spans="1:19" x14ac:dyDescent="0.25">
      <c r="A1328" t="s">
        <v>406</v>
      </c>
      <c r="F1328" s="58">
        <v>46141</v>
      </c>
    </row>
    <row r="1329" spans="1:16" x14ac:dyDescent="0.25">
      <c r="A1329" t="s">
        <v>360</v>
      </c>
      <c r="H1329" s="58">
        <v>46141</v>
      </c>
    </row>
    <row r="1330" spans="1:16" x14ac:dyDescent="0.25">
      <c r="A1330" t="s">
        <v>340</v>
      </c>
      <c r="J1330" s="58">
        <v>46142</v>
      </c>
    </row>
    <row r="1331" spans="1:16" x14ac:dyDescent="0.25">
      <c r="A1331" t="s">
        <v>236</v>
      </c>
      <c r="L1331" s="58">
        <v>46147</v>
      </c>
    </row>
    <row r="1332" spans="1:16" x14ac:dyDescent="0.25">
      <c r="A1332" t="s">
        <v>360</v>
      </c>
      <c r="N1332" s="58">
        <v>46149</v>
      </c>
    </row>
    <row r="1333" spans="1:16" x14ac:dyDescent="0.25">
      <c r="A1333" t="s">
        <v>340</v>
      </c>
      <c r="P1333" s="58">
        <v>46140</v>
      </c>
    </row>
    <row r="1334" spans="1:16" x14ac:dyDescent="0.25">
      <c r="A1334" t="s">
        <v>406</v>
      </c>
      <c r="B1334" s="62">
        <v>46153</v>
      </c>
    </row>
    <row r="1335" spans="1:16" x14ac:dyDescent="0.25">
      <c r="A1335" t="s">
        <v>394</v>
      </c>
      <c r="D1335" s="58">
        <v>46153</v>
      </c>
    </row>
    <row r="1336" spans="1:16" x14ac:dyDescent="0.25">
      <c r="A1336" t="s">
        <v>404</v>
      </c>
      <c r="F1336" s="58">
        <v>46153</v>
      </c>
    </row>
    <row r="1337" spans="1:16" x14ac:dyDescent="0.25">
      <c r="A1337" t="s">
        <v>305</v>
      </c>
      <c r="H1337" s="58">
        <v>46153</v>
      </c>
    </row>
    <row r="1338" spans="1:16" x14ac:dyDescent="0.25">
      <c r="A1338" t="s">
        <v>360</v>
      </c>
      <c r="J1338" s="58">
        <v>46153</v>
      </c>
    </row>
    <row r="1339" spans="1:16" x14ac:dyDescent="0.25">
      <c r="A1339" t="s">
        <v>347</v>
      </c>
      <c r="L1339" s="58">
        <v>46153</v>
      </c>
    </row>
    <row r="1340" spans="1:16" x14ac:dyDescent="0.25">
      <c r="A1340" t="s">
        <v>407</v>
      </c>
      <c r="N1340" s="58">
        <v>46155</v>
      </c>
    </row>
    <row r="1341" spans="1:16" x14ac:dyDescent="0.25">
      <c r="A1341" t="s">
        <v>394</v>
      </c>
      <c r="P1341" s="58">
        <v>46156</v>
      </c>
    </row>
    <row r="1342" spans="1:16" x14ac:dyDescent="0.25">
      <c r="A1342" t="s">
        <v>342</v>
      </c>
      <c r="B1342" s="62">
        <v>46161</v>
      </c>
    </row>
    <row r="1343" spans="1:16" x14ac:dyDescent="0.25">
      <c r="A1343" t="s">
        <v>333</v>
      </c>
      <c r="D1343" s="62">
        <v>46161</v>
      </c>
    </row>
    <row r="1344" spans="1:16" x14ac:dyDescent="0.25">
      <c r="A1344" t="s">
        <v>360</v>
      </c>
      <c r="D1344" s="62">
        <v>46161</v>
      </c>
    </row>
    <row r="1345" spans="1:19" x14ac:dyDescent="0.25">
      <c r="A1345" t="s">
        <v>360</v>
      </c>
      <c r="F1345" s="58">
        <v>46163</v>
      </c>
      <c r="G1345" s="65" t="s">
        <v>408</v>
      </c>
      <c r="H1345" s="65"/>
    </row>
    <row r="1346" spans="1:19" x14ac:dyDescent="0.25">
      <c r="A1346" t="s">
        <v>236</v>
      </c>
      <c r="H1346" s="58">
        <v>46163</v>
      </c>
      <c r="I1346" s="65" t="s">
        <v>253</v>
      </c>
      <c r="J1346" s="65"/>
    </row>
    <row r="1347" spans="1:19" x14ac:dyDescent="0.25">
      <c r="A1347" t="s">
        <v>222</v>
      </c>
      <c r="J1347" s="58">
        <v>46164</v>
      </c>
    </row>
    <row r="1348" spans="1:19" x14ac:dyDescent="0.25">
      <c r="A1348" t="s">
        <v>411</v>
      </c>
      <c r="J1348" s="58"/>
      <c r="L1348" s="58">
        <v>46164</v>
      </c>
    </row>
    <row r="1349" spans="1:19" x14ac:dyDescent="0.25">
      <c r="A1349" t="s">
        <v>406</v>
      </c>
      <c r="N1349" s="58">
        <v>46164</v>
      </c>
    </row>
    <row r="1350" spans="1:19" ht="18.75" x14ac:dyDescent="0.3">
      <c r="A1350" s="113" t="s">
        <v>418</v>
      </c>
      <c r="B1350" s="113"/>
      <c r="C1350" s="113"/>
      <c r="D1350" s="113"/>
      <c r="E1350" s="113"/>
      <c r="F1350" s="113"/>
      <c r="G1350" s="113"/>
      <c r="H1350" s="113"/>
      <c r="I1350" s="113"/>
      <c r="J1350" s="113"/>
      <c r="K1350" s="113"/>
      <c r="L1350" s="113"/>
      <c r="M1350" s="113"/>
      <c r="N1350" s="113"/>
      <c r="O1350" s="113"/>
      <c r="P1350" s="113"/>
      <c r="Q1350" s="113"/>
      <c r="R1350" s="113"/>
      <c r="S1350" s="113"/>
    </row>
    <row r="1351" spans="1:19" x14ac:dyDescent="0.25">
      <c r="A1351" t="s">
        <v>404</v>
      </c>
      <c r="P1351" s="58">
        <v>46167</v>
      </c>
      <c r="Q1351" s="65" t="s">
        <v>413</v>
      </c>
      <c r="R1351" s="65"/>
      <c r="S1351" s="65"/>
    </row>
    <row r="1352" spans="1:19" x14ac:dyDescent="0.25">
      <c r="A1352" t="s">
        <v>394</v>
      </c>
      <c r="F1352" s="58"/>
      <c r="H1352" s="58">
        <v>46167</v>
      </c>
    </row>
    <row r="1353" spans="1:19" x14ac:dyDescent="0.25">
      <c r="A1353" t="s">
        <v>411</v>
      </c>
      <c r="B1353" s="62">
        <v>46168</v>
      </c>
    </row>
    <row r="1354" spans="1:19" x14ac:dyDescent="0.25">
      <c r="A1354" t="s">
        <v>340</v>
      </c>
      <c r="F1354" s="58">
        <v>46168</v>
      </c>
    </row>
    <row r="1355" spans="1:19" x14ac:dyDescent="0.25">
      <c r="A1355" t="s">
        <v>360</v>
      </c>
      <c r="B1355" s="62">
        <v>46169</v>
      </c>
    </row>
    <row r="1356" spans="1:19" x14ac:dyDescent="0.25">
      <c r="A1356" t="s">
        <v>344</v>
      </c>
      <c r="H1356" s="58">
        <v>46170</v>
      </c>
    </row>
    <row r="1357" spans="1:19" x14ac:dyDescent="0.25">
      <c r="A1357" t="s">
        <v>360</v>
      </c>
      <c r="B1357" s="62">
        <v>46170</v>
      </c>
    </row>
    <row r="1358" spans="1:19" x14ac:dyDescent="0.25">
      <c r="A1358" t="s">
        <v>344</v>
      </c>
      <c r="H1358" s="58">
        <v>46171</v>
      </c>
    </row>
    <row r="1359" spans="1:19" x14ac:dyDescent="0.25">
      <c r="A1359" t="s">
        <v>386</v>
      </c>
      <c r="J1359" s="58">
        <v>46171</v>
      </c>
    </row>
    <row r="1360" spans="1:19" x14ac:dyDescent="0.25">
      <c r="A1360" t="s">
        <v>342</v>
      </c>
      <c r="L1360" s="58">
        <v>46171</v>
      </c>
    </row>
    <row r="1361" spans="1:19" x14ac:dyDescent="0.25">
      <c r="A1361" t="s">
        <v>286</v>
      </c>
      <c r="N1361" s="58">
        <v>46171</v>
      </c>
      <c r="O1361" s="65" t="s">
        <v>234</v>
      </c>
      <c r="P1361" s="65"/>
      <c r="Q1361" s="65"/>
    </row>
    <row r="1362" spans="1:19" x14ac:dyDescent="0.25">
      <c r="A1362" t="s">
        <v>344</v>
      </c>
      <c r="P1362" s="58">
        <v>46175</v>
      </c>
    </row>
    <row r="1363" spans="1:19" x14ac:dyDescent="0.25">
      <c r="A1363" t="s">
        <v>305</v>
      </c>
      <c r="B1363" s="62">
        <v>46175</v>
      </c>
    </row>
    <row r="1364" spans="1:19" x14ac:dyDescent="0.25">
      <c r="A1364" t="s">
        <v>414</v>
      </c>
      <c r="F1364" s="58">
        <v>45080</v>
      </c>
    </row>
    <row r="1365" spans="1:19" x14ac:dyDescent="0.25">
      <c r="A1365" t="s">
        <v>327</v>
      </c>
      <c r="H1365" s="58">
        <v>46177</v>
      </c>
    </row>
    <row r="1366" spans="1:19" x14ac:dyDescent="0.25">
      <c r="A1366" t="s">
        <v>360</v>
      </c>
      <c r="J1366" s="58">
        <v>46178</v>
      </c>
    </row>
    <row r="1367" spans="1:19" x14ac:dyDescent="0.25">
      <c r="A1367" t="s">
        <v>381</v>
      </c>
      <c r="L1367" s="58">
        <v>46182</v>
      </c>
    </row>
    <row r="1368" spans="1:19" x14ac:dyDescent="0.25">
      <c r="A1368" t="s">
        <v>386</v>
      </c>
      <c r="N1368" s="58">
        <v>46185</v>
      </c>
    </row>
    <row r="1369" spans="1:19" x14ac:dyDescent="0.25">
      <c r="A1369" t="s">
        <v>411</v>
      </c>
      <c r="P1369" s="58">
        <v>46189</v>
      </c>
    </row>
    <row r="1370" spans="1:19" x14ac:dyDescent="0.25">
      <c r="A1370" t="s">
        <v>416</v>
      </c>
      <c r="F1370" s="58">
        <v>46189</v>
      </c>
    </row>
    <row r="1371" spans="1:19" x14ac:dyDescent="0.25">
      <c r="A1371" t="s">
        <v>416</v>
      </c>
      <c r="H1371" s="58">
        <v>46192</v>
      </c>
    </row>
    <row r="1372" spans="1:19" x14ac:dyDescent="0.25">
      <c r="A1372" t="s">
        <v>417</v>
      </c>
      <c r="J1372" s="58">
        <v>46192</v>
      </c>
    </row>
    <row r="1373" spans="1:19" ht="18.75" x14ac:dyDescent="0.3">
      <c r="A1373" s="113" t="s">
        <v>419</v>
      </c>
      <c r="B1373" s="113"/>
      <c r="C1373" s="113"/>
      <c r="D1373" s="113"/>
      <c r="E1373" s="113"/>
      <c r="F1373" s="113"/>
      <c r="G1373" s="113"/>
      <c r="H1373" s="113"/>
      <c r="I1373" s="113"/>
      <c r="J1373" s="113"/>
      <c r="K1373" s="113"/>
      <c r="L1373" s="113"/>
      <c r="M1373" s="113"/>
      <c r="N1373" s="113"/>
      <c r="O1373" s="113"/>
      <c r="P1373" s="113"/>
      <c r="Q1373" s="113"/>
      <c r="R1373" s="113"/>
      <c r="S1373" s="113"/>
    </row>
    <row r="1374" spans="1:19" x14ac:dyDescent="0.25">
      <c r="A1374" t="s">
        <v>340</v>
      </c>
      <c r="L1374" s="58">
        <v>46195</v>
      </c>
    </row>
  </sheetData>
  <sortState ref="W7:X38">
    <sortCondition descending="1" ref="X7:X38"/>
  </sortState>
  <mergeCells count="65">
    <mergeCell ref="A251:S251"/>
    <mergeCell ref="A784:S784"/>
    <mergeCell ref="A1207:S1207"/>
    <mergeCell ref="A1181:S1181"/>
    <mergeCell ref="K1191:M1191"/>
    <mergeCell ref="A1136:S1136"/>
    <mergeCell ref="M1060:O1060"/>
    <mergeCell ref="O1202:Q1202"/>
    <mergeCell ref="G1189:J1189"/>
    <mergeCell ref="A1157:S1157"/>
    <mergeCell ref="K1147:M1147"/>
    <mergeCell ref="A1103:S1103"/>
    <mergeCell ref="A1069:S1069"/>
    <mergeCell ref="B3:C3"/>
    <mergeCell ref="N4:O4"/>
    <mergeCell ref="P4:Q4"/>
    <mergeCell ref="B4:C4"/>
    <mergeCell ref="D4:E4"/>
    <mergeCell ref="F4:G4"/>
    <mergeCell ref="J4:K4"/>
    <mergeCell ref="L4:M4"/>
    <mergeCell ref="H4:I4"/>
    <mergeCell ref="A4:A5"/>
    <mergeCell ref="K163:M163"/>
    <mergeCell ref="O143:P143"/>
    <mergeCell ref="A137:S137"/>
    <mergeCell ref="B208:S208"/>
    <mergeCell ref="A185:S185"/>
    <mergeCell ref="A219:S219"/>
    <mergeCell ref="A911:S911"/>
    <mergeCell ref="A1019:S1019"/>
    <mergeCell ref="Q907:S907"/>
    <mergeCell ref="J729:K729"/>
    <mergeCell ref="A839:S839"/>
    <mergeCell ref="M930:O930"/>
    <mergeCell ref="E893:G893"/>
    <mergeCell ref="A571:S571"/>
    <mergeCell ref="A601:S601"/>
    <mergeCell ref="A633:S633"/>
    <mergeCell ref="A735:S735"/>
    <mergeCell ref="C900:Q900"/>
    <mergeCell ref="M750:N750"/>
    <mergeCell ref="K740:L740"/>
    <mergeCell ref="A674:S674"/>
    <mergeCell ref="A1262:S1262"/>
    <mergeCell ref="A1240:S1240"/>
    <mergeCell ref="A1221:S1221"/>
    <mergeCell ref="R4:S4"/>
    <mergeCell ref="A110:S110"/>
    <mergeCell ref="G919:I919"/>
    <mergeCell ref="A164:S164"/>
    <mergeCell ref="G165:I165"/>
    <mergeCell ref="A290:S290"/>
    <mergeCell ref="A421:S421"/>
    <mergeCell ref="M166:O166"/>
    <mergeCell ref="A346:S346"/>
    <mergeCell ref="A537:S537"/>
    <mergeCell ref="A299:C299"/>
    <mergeCell ref="A504:S504"/>
    <mergeCell ref="I177:K177"/>
    <mergeCell ref="A1373:S1373"/>
    <mergeCell ref="A1350:S1350"/>
    <mergeCell ref="A1320:S1320"/>
    <mergeCell ref="A1299:S1299"/>
    <mergeCell ref="A1279:S1279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USUARIOS!$B$4:$B$56</xm:f>
          </x14:formula1>
          <xm:sqref>A299:C299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H56"/>
  <sheetViews>
    <sheetView topLeftCell="A2" workbookViewId="0">
      <selection activeCell="B5" sqref="B5"/>
    </sheetView>
  </sheetViews>
  <sheetFormatPr baseColWidth="10" defaultColWidth="11.42578125" defaultRowHeight="15" x14ac:dyDescent="0.25"/>
  <cols>
    <col min="1" max="1" width="21.7109375" style="1" customWidth="1"/>
    <col min="2" max="2" width="13.7109375" style="1" customWidth="1"/>
    <col min="3" max="3" width="11.42578125" style="1" customWidth="1"/>
    <col min="4" max="5" width="14.5703125" style="1" customWidth="1"/>
    <col min="6" max="6" width="45.140625" style="1" bestFit="1" customWidth="1"/>
    <col min="7" max="16384" width="11.42578125" style="1"/>
  </cols>
  <sheetData>
    <row r="1" spans="1:6" ht="37.5" customHeight="1" x14ac:dyDescent="0.25">
      <c r="A1" s="132" t="s">
        <v>0</v>
      </c>
      <c r="B1" s="132"/>
      <c r="C1" s="132"/>
      <c r="D1" s="132"/>
      <c r="E1" s="132"/>
      <c r="F1" s="132"/>
    </row>
    <row r="2" spans="1:6" s="4" customFormat="1" ht="26.25" customHeight="1" thickBot="1" x14ac:dyDescent="0.4">
      <c r="A2" s="133" t="s">
        <v>77</v>
      </c>
      <c r="B2" s="133"/>
      <c r="C2" s="133"/>
      <c r="D2" s="133"/>
      <c r="E2" s="133"/>
      <c r="F2" s="133"/>
    </row>
    <row r="3" spans="1:6" ht="12" customHeight="1" x14ac:dyDescent="0.25">
      <c r="A3" s="28"/>
      <c r="B3" s="29"/>
      <c r="C3" s="29"/>
      <c r="D3" s="29"/>
      <c r="E3" s="29"/>
      <c r="F3" s="30"/>
    </row>
    <row r="4" spans="1:6" s="2" customFormat="1" ht="12" customHeight="1" thickBot="1" x14ac:dyDescent="0.3">
      <c r="A4" s="13" t="s">
        <v>60</v>
      </c>
      <c r="B4" s="118" t="s">
        <v>412</v>
      </c>
      <c r="C4" s="118" t="s">
        <v>322</v>
      </c>
      <c r="D4" s="118" t="s">
        <v>322</v>
      </c>
      <c r="E4" s="85" t="s">
        <v>255</v>
      </c>
      <c r="F4" s="84" t="s">
        <v>273</v>
      </c>
    </row>
    <row r="5" spans="1:6" s="2" customFormat="1" ht="12" customHeight="1" x14ac:dyDescent="0.25">
      <c r="A5" s="12"/>
      <c r="B5" s="34"/>
      <c r="C5" s="34"/>
      <c r="D5" s="34"/>
      <c r="E5" s="34"/>
      <c r="F5" s="35"/>
    </row>
    <row r="6" spans="1:6" s="2" customFormat="1" ht="12" customHeight="1" thickBot="1" x14ac:dyDescent="0.3">
      <c r="A6" s="13" t="s">
        <v>16</v>
      </c>
      <c r="B6" s="31" t="s">
        <v>48</v>
      </c>
      <c r="C6" s="32"/>
      <c r="D6" s="32"/>
      <c r="E6" s="32"/>
      <c r="F6" s="33"/>
    </row>
    <row r="7" spans="1:6" s="5" customFormat="1" ht="12" customHeight="1" x14ac:dyDescent="0.25">
      <c r="A7" s="36"/>
      <c r="B7" s="37"/>
      <c r="C7" s="37"/>
      <c r="D7" s="37"/>
      <c r="E7" s="37"/>
      <c r="F7" s="38"/>
    </row>
    <row r="8" spans="1:6" s="5" customFormat="1" ht="12" customHeight="1" thickBot="1" x14ac:dyDescent="0.3">
      <c r="A8" s="36"/>
      <c r="B8" s="37"/>
      <c r="C8" s="37"/>
      <c r="D8" s="134" t="s">
        <v>61</v>
      </c>
      <c r="E8" s="134"/>
      <c r="F8" s="53">
        <f ca="1">NOW()</f>
        <v>46196.458986458332</v>
      </c>
    </row>
    <row r="9" spans="1:6" s="2" customFormat="1" ht="12" customHeight="1" thickBot="1" x14ac:dyDescent="0.3">
      <c r="A9" s="39"/>
      <c r="B9" s="32"/>
      <c r="C9" s="32"/>
      <c r="D9" s="32"/>
      <c r="E9" s="32"/>
      <c r="F9" s="64">
        <f ca="1">NOW()</f>
        <v>46196.458986458332</v>
      </c>
    </row>
    <row r="10" spans="1:6" s="6" customFormat="1" ht="13.5" thickBot="1" x14ac:dyDescent="0.25">
      <c r="A10" s="135" t="s">
        <v>17</v>
      </c>
      <c r="B10" s="136"/>
      <c r="C10" s="136"/>
      <c r="D10" s="136"/>
      <c r="E10" s="136"/>
      <c r="F10" s="137"/>
    </row>
    <row r="11" spans="1:6" s="14" customFormat="1" ht="13.5" thickBot="1" x14ac:dyDescent="0.25">
      <c r="A11" s="40" t="s">
        <v>11</v>
      </c>
      <c r="B11" s="40" t="s">
        <v>12</v>
      </c>
      <c r="C11" s="40" t="s">
        <v>13</v>
      </c>
      <c r="D11" s="40" t="s">
        <v>37</v>
      </c>
      <c r="E11" s="40" t="s">
        <v>51</v>
      </c>
      <c r="F11" s="40" t="s">
        <v>10</v>
      </c>
    </row>
    <row r="12" spans="1:6" x14ac:dyDescent="0.25">
      <c r="A12" s="11" t="s">
        <v>49</v>
      </c>
      <c r="B12" s="45" t="s">
        <v>136</v>
      </c>
      <c r="C12" s="45" t="s">
        <v>65</v>
      </c>
      <c r="D12" s="45" t="s">
        <v>144</v>
      </c>
      <c r="E12" s="46">
        <v>1</v>
      </c>
      <c r="F12" s="129" t="s">
        <v>71</v>
      </c>
    </row>
    <row r="13" spans="1:6" x14ac:dyDescent="0.25">
      <c r="A13" s="9" t="s">
        <v>52</v>
      </c>
      <c r="B13" s="45" t="s">
        <v>50</v>
      </c>
      <c r="C13" s="45" t="s">
        <v>140</v>
      </c>
      <c r="D13" s="45" t="s">
        <v>149</v>
      </c>
      <c r="E13" s="46">
        <v>1</v>
      </c>
      <c r="F13" s="130"/>
    </row>
    <row r="14" spans="1:6" x14ac:dyDescent="0.25">
      <c r="A14" s="9" t="s">
        <v>54</v>
      </c>
      <c r="B14" s="45" t="s">
        <v>139</v>
      </c>
      <c r="C14" s="45" t="s">
        <v>118</v>
      </c>
      <c r="D14" s="45" t="s">
        <v>137</v>
      </c>
      <c r="E14" s="45"/>
      <c r="F14" s="130"/>
    </row>
    <row r="15" spans="1:6" x14ac:dyDescent="0.25">
      <c r="A15" s="9" t="s">
        <v>56</v>
      </c>
      <c r="B15" s="45" t="s">
        <v>104</v>
      </c>
      <c r="C15" s="45"/>
      <c r="D15" s="45" t="s">
        <v>138</v>
      </c>
      <c r="E15" s="49"/>
      <c r="F15" s="131"/>
    </row>
    <row r="16" spans="1:6" x14ac:dyDescent="0.25">
      <c r="A16" s="47" t="s">
        <v>59</v>
      </c>
      <c r="B16" s="50"/>
      <c r="C16" s="48"/>
      <c r="D16" s="48"/>
      <c r="E16" s="51"/>
      <c r="F16" s="52"/>
    </row>
    <row r="17" spans="1:6" ht="21.75" thickBot="1" x14ac:dyDescent="0.4">
      <c r="A17" s="10" t="s">
        <v>1</v>
      </c>
      <c r="B17" s="141"/>
      <c r="C17" s="142"/>
      <c r="D17" s="142"/>
      <c r="E17" s="142"/>
      <c r="F17" s="143"/>
    </row>
    <row r="18" spans="1:6" s="14" customFormat="1" ht="13.5" thickBot="1" x14ac:dyDescent="0.25">
      <c r="A18" s="135" t="s">
        <v>18</v>
      </c>
      <c r="B18" s="136"/>
      <c r="C18" s="136"/>
      <c r="D18" s="136"/>
      <c r="E18" s="136"/>
      <c r="F18" s="137"/>
    </row>
    <row r="19" spans="1:6" s="14" customFormat="1" ht="13.5" thickBot="1" x14ac:dyDescent="0.25">
      <c r="A19" s="43" t="s">
        <v>11</v>
      </c>
      <c r="B19" s="43" t="s">
        <v>14</v>
      </c>
      <c r="C19" s="43" t="s">
        <v>15</v>
      </c>
      <c r="D19" s="135" t="s">
        <v>10</v>
      </c>
      <c r="E19" s="136"/>
      <c r="F19" s="137"/>
    </row>
    <row r="20" spans="1:6" x14ac:dyDescent="0.25">
      <c r="A20" s="8" t="s">
        <v>2</v>
      </c>
      <c r="B20" s="44"/>
      <c r="C20" s="44"/>
      <c r="D20" s="144"/>
      <c r="E20" s="145"/>
      <c r="F20" s="146"/>
    </row>
    <row r="21" spans="1:6" x14ac:dyDescent="0.25">
      <c r="A21" s="9" t="s">
        <v>3</v>
      </c>
      <c r="B21" s="41"/>
      <c r="C21" s="41"/>
      <c r="D21" s="147"/>
      <c r="E21" s="148"/>
      <c r="F21" s="149"/>
    </row>
    <row r="22" spans="1:6" x14ac:dyDescent="0.25">
      <c r="A22" s="9" t="s">
        <v>4</v>
      </c>
      <c r="B22" s="41"/>
      <c r="C22" s="41"/>
      <c r="D22" s="147"/>
      <c r="E22" s="148"/>
      <c r="F22" s="149"/>
    </row>
    <row r="23" spans="1:6" x14ac:dyDescent="0.25">
      <c r="A23" s="9" t="s">
        <v>5</v>
      </c>
      <c r="B23" s="41"/>
      <c r="C23" s="41"/>
      <c r="D23" s="147"/>
      <c r="E23" s="148"/>
      <c r="F23" s="149"/>
    </row>
    <row r="24" spans="1:6" x14ac:dyDescent="0.25">
      <c r="A24" s="9" t="s">
        <v>6</v>
      </c>
      <c r="B24" s="41"/>
      <c r="C24" s="41"/>
      <c r="D24" s="147"/>
      <c r="E24" s="148"/>
      <c r="F24" s="149"/>
    </row>
    <row r="25" spans="1:6" x14ac:dyDescent="0.25">
      <c r="A25" s="9" t="s">
        <v>7</v>
      </c>
      <c r="B25" s="41"/>
      <c r="C25" s="41"/>
      <c r="D25" s="147"/>
      <c r="E25" s="148"/>
      <c r="F25" s="149"/>
    </row>
    <row r="26" spans="1:6" x14ac:dyDescent="0.25">
      <c r="A26" s="9" t="s">
        <v>1</v>
      </c>
      <c r="B26" s="41"/>
      <c r="C26" s="41"/>
      <c r="D26" s="147"/>
      <c r="E26" s="148"/>
      <c r="F26" s="149"/>
    </row>
    <row r="27" spans="1:6" ht="15.75" thickBot="1" x14ac:dyDescent="0.3">
      <c r="A27" s="10" t="s">
        <v>1</v>
      </c>
      <c r="B27" s="42"/>
      <c r="C27" s="42"/>
      <c r="D27" s="150"/>
      <c r="E27" s="151"/>
      <c r="F27" s="152"/>
    </row>
    <row r="28" spans="1:6" s="14" customFormat="1" ht="13.5" thickBot="1" x14ac:dyDescent="0.25">
      <c r="A28" s="138" t="s">
        <v>8</v>
      </c>
      <c r="B28" s="139"/>
      <c r="C28" s="139"/>
      <c r="D28" s="139"/>
      <c r="E28" s="139"/>
      <c r="F28" s="140"/>
    </row>
    <row r="29" spans="1:6" s="3" customFormat="1" ht="18.75" x14ac:dyDescent="0.3">
      <c r="A29" s="8" t="s">
        <v>9</v>
      </c>
      <c r="B29" s="44"/>
      <c r="C29" s="155"/>
      <c r="D29" s="155"/>
      <c r="E29" s="144"/>
      <c r="F29" s="156"/>
    </row>
    <row r="30" spans="1:6" x14ac:dyDescent="0.25">
      <c r="A30" s="9" t="s">
        <v>47</v>
      </c>
      <c r="B30" s="41"/>
      <c r="C30" s="157"/>
      <c r="D30" s="157"/>
      <c r="E30" s="147"/>
      <c r="F30" s="158"/>
    </row>
    <row r="31" spans="1:6" x14ac:dyDescent="0.25">
      <c r="B31" s="41"/>
      <c r="C31" s="157"/>
      <c r="D31" s="157"/>
      <c r="E31" s="147"/>
      <c r="F31" s="158"/>
    </row>
    <row r="32" spans="1:6" x14ac:dyDescent="0.25">
      <c r="A32" s="9"/>
      <c r="B32" s="41"/>
      <c r="C32" s="157"/>
      <c r="D32" s="157"/>
      <c r="E32" s="147"/>
      <c r="F32" s="158"/>
    </row>
    <row r="33" spans="1:8" ht="15.75" thickBot="1" x14ac:dyDescent="0.3">
      <c r="A33" s="10"/>
      <c r="B33" s="42"/>
      <c r="C33" s="159"/>
      <c r="D33" s="159"/>
      <c r="E33" s="150"/>
      <c r="F33" s="160"/>
    </row>
    <row r="34" spans="1:8" ht="12.95" customHeight="1" x14ac:dyDescent="0.25">
      <c r="A34" s="54" t="s">
        <v>19</v>
      </c>
      <c r="B34" s="54"/>
      <c r="C34" s="54"/>
      <c r="D34" s="54"/>
      <c r="E34" s="54"/>
      <c r="F34" s="54"/>
      <c r="G34" s="7"/>
      <c r="H34" s="7"/>
    </row>
    <row r="35" spans="1:8" ht="12.95" customHeight="1" x14ac:dyDescent="0.25">
      <c r="A35" s="7" t="s">
        <v>20</v>
      </c>
      <c r="B35"/>
      <c r="C35"/>
      <c r="D35"/>
      <c r="E35"/>
      <c r="F35"/>
      <c r="G35" s="7"/>
      <c r="H35" s="7"/>
    </row>
    <row r="36" spans="1:8" ht="12.95" customHeight="1" x14ac:dyDescent="0.25">
      <c r="A36" s="153" t="s">
        <v>141</v>
      </c>
      <c r="B36" s="154"/>
      <c r="C36" s="154"/>
      <c r="D36" s="154"/>
      <c r="E36" s="154"/>
      <c r="F36" s="154"/>
      <c r="G36" s="7"/>
      <c r="H36" s="7"/>
    </row>
    <row r="37" spans="1:8" ht="12.95" customHeight="1" x14ac:dyDescent="0.25">
      <c r="A37" s="153" t="s">
        <v>22</v>
      </c>
      <c r="B37" s="154"/>
      <c r="C37" s="154"/>
      <c r="D37" s="154"/>
      <c r="E37" s="154"/>
      <c r="F37" s="154"/>
      <c r="G37" s="7"/>
      <c r="H37" s="7"/>
    </row>
    <row r="38" spans="1:8" ht="12.95" customHeight="1" x14ac:dyDescent="0.25">
      <c r="A38" s="153" t="s">
        <v>142</v>
      </c>
      <c r="B38" s="154"/>
      <c r="C38" s="154"/>
      <c r="D38" s="154"/>
      <c r="E38" s="154"/>
      <c r="F38" s="154"/>
      <c r="G38" s="7"/>
      <c r="H38" s="7"/>
    </row>
    <row r="39" spans="1:8" ht="12.95" customHeight="1" x14ac:dyDescent="0.25">
      <c r="A39" s="153" t="s">
        <v>24</v>
      </c>
      <c r="B39" s="154"/>
      <c r="C39" s="154"/>
      <c r="D39" s="154"/>
      <c r="E39" s="154"/>
      <c r="F39" s="154"/>
      <c r="G39" s="7"/>
      <c r="H39" s="7"/>
    </row>
    <row r="40" spans="1:8" ht="12.95" customHeight="1" x14ac:dyDescent="0.25">
      <c r="A40" s="153" t="s">
        <v>143</v>
      </c>
      <c r="B40" s="154"/>
      <c r="C40" s="154"/>
      <c r="D40" s="154"/>
      <c r="E40" s="154"/>
      <c r="F40" s="154"/>
      <c r="G40" s="7"/>
      <c r="H40" s="7"/>
    </row>
    <row r="41" spans="1:8" ht="12.95" customHeight="1" x14ac:dyDescent="0.25">
      <c r="A41" s="153" t="s">
        <v>26</v>
      </c>
      <c r="B41" s="154"/>
      <c r="C41" s="154"/>
      <c r="D41" s="154"/>
      <c r="E41" s="154"/>
      <c r="F41" s="154"/>
      <c r="G41" s="7"/>
      <c r="H41" s="7"/>
    </row>
    <row r="42" spans="1:8" ht="12.95" customHeight="1" x14ac:dyDescent="0.25">
      <c r="A42" s="153" t="s">
        <v>27</v>
      </c>
      <c r="B42" s="154"/>
      <c r="C42" s="154"/>
      <c r="D42" s="154"/>
      <c r="E42" s="154"/>
      <c r="F42" s="154"/>
      <c r="G42" s="7"/>
      <c r="H42" s="7"/>
    </row>
    <row r="43" spans="1:8" ht="12.95" customHeight="1" x14ac:dyDescent="0.25">
      <c r="A43" s="153" t="s">
        <v>28</v>
      </c>
      <c r="B43" s="154"/>
      <c r="C43" s="154"/>
      <c r="D43" s="154"/>
      <c r="E43" s="154"/>
      <c r="F43" s="154"/>
      <c r="G43" s="7"/>
      <c r="H43" s="7"/>
    </row>
    <row r="44" spans="1:8" ht="12.95" customHeight="1" x14ac:dyDescent="0.25">
      <c r="A44" s="153" t="s">
        <v>29</v>
      </c>
      <c r="B44" s="154"/>
      <c r="C44" s="154"/>
      <c r="D44" s="154"/>
      <c r="E44" s="154"/>
      <c r="F44" s="154"/>
      <c r="G44" s="7"/>
      <c r="H44" s="7"/>
    </row>
    <row r="45" spans="1:8" ht="12.95" customHeight="1" x14ac:dyDescent="0.25">
      <c r="A45" s="153" t="s">
        <v>30</v>
      </c>
      <c r="B45" s="154"/>
      <c r="C45" s="154"/>
      <c r="D45" s="154"/>
      <c r="E45" s="154"/>
      <c r="F45" s="154"/>
      <c r="G45" s="7"/>
      <c r="H45" s="7"/>
    </row>
    <row r="46" spans="1:8" ht="12.95" customHeight="1" x14ac:dyDescent="0.25">
      <c r="A46" s="153" t="s">
        <v>31</v>
      </c>
      <c r="B46" s="154"/>
      <c r="C46" s="154"/>
      <c r="D46" s="154"/>
      <c r="E46" s="154"/>
      <c r="F46" s="154"/>
      <c r="G46" s="7"/>
      <c r="H46" s="7"/>
    </row>
    <row r="47" spans="1:8" ht="12.95" customHeight="1" x14ac:dyDescent="0.25">
      <c r="A47" s="153" t="s">
        <v>32</v>
      </c>
      <c r="B47" s="154"/>
      <c r="C47" s="154"/>
      <c r="D47" s="154"/>
      <c r="E47" s="154"/>
      <c r="F47" s="154"/>
      <c r="G47" s="7"/>
      <c r="H47" s="7"/>
    </row>
    <row r="48" spans="1:8" ht="12.95" customHeight="1" x14ac:dyDescent="0.25">
      <c r="A48" s="153" t="s">
        <v>33</v>
      </c>
      <c r="B48" s="154"/>
      <c r="C48" s="154"/>
      <c r="D48" s="154"/>
      <c r="E48" s="154"/>
      <c r="F48" s="154"/>
      <c r="G48" s="7"/>
      <c r="H48" s="7"/>
    </row>
    <row r="49" spans="1:8" ht="12.95" customHeight="1" x14ac:dyDescent="0.25">
      <c r="A49" s="163" t="s">
        <v>212</v>
      </c>
      <c r="B49" s="163"/>
      <c r="C49" s="163"/>
      <c r="D49" s="163"/>
      <c r="E49" s="163"/>
      <c r="F49" s="163"/>
      <c r="G49" s="7"/>
      <c r="H49" s="7"/>
    </row>
    <row r="50" spans="1:8" ht="12.95" customHeight="1" x14ac:dyDescent="0.25">
      <c r="A50" s="153" t="s">
        <v>34</v>
      </c>
      <c r="B50" s="154"/>
      <c r="C50" s="154"/>
      <c r="D50" s="154"/>
      <c r="E50" s="154"/>
      <c r="F50" s="154"/>
      <c r="G50" s="7"/>
      <c r="H50" s="7"/>
    </row>
    <row r="51" spans="1:8" ht="12.95" customHeight="1" x14ac:dyDescent="0.25"/>
    <row r="52" spans="1:8" ht="12.95" customHeight="1" x14ac:dyDescent="0.25"/>
    <row r="53" spans="1:8" ht="12.95" customHeight="1" x14ac:dyDescent="0.25"/>
    <row r="54" spans="1:8" ht="12.95" customHeight="1" x14ac:dyDescent="0.25">
      <c r="A54" s="161" t="str">
        <f>B4</f>
        <v>KARLA GOMEZ PERALTA</v>
      </c>
      <c r="B54" s="161"/>
      <c r="C54" s="161"/>
      <c r="D54" s="161"/>
      <c r="E54" s="161"/>
      <c r="F54" s="161"/>
    </row>
    <row r="55" spans="1:8" ht="3" customHeight="1" x14ac:dyDescent="0.25">
      <c r="A55" s="161" t="s">
        <v>213</v>
      </c>
      <c r="B55" s="161"/>
      <c r="C55" s="161"/>
      <c r="D55" s="161"/>
      <c r="E55" s="161"/>
      <c r="F55" s="161"/>
    </row>
    <row r="56" spans="1:8" ht="12.95" customHeight="1" x14ac:dyDescent="0.25">
      <c r="A56" s="162" t="s">
        <v>35</v>
      </c>
      <c r="B56" s="162"/>
      <c r="C56" s="162"/>
      <c r="D56" s="162"/>
      <c r="E56" s="162"/>
      <c r="F56" s="162"/>
    </row>
  </sheetData>
  <mergeCells count="41">
    <mergeCell ref="A50:F50"/>
    <mergeCell ref="A54:F54"/>
    <mergeCell ref="A56:F56"/>
    <mergeCell ref="A43:F43"/>
    <mergeCell ref="A44:F44"/>
    <mergeCell ref="A45:F45"/>
    <mergeCell ref="A46:F46"/>
    <mergeCell ref="A47:F47"/>
    <mergeCell ref="A48:F48"/>
    <mergeCell ref="A49:F49"/>
    <mergeCell ref="A55:F55"/>
    <mergeCell ref="A42:F42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1:F41"/>
    <mergeCell ref="A28:F28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F12:F15"/>
    <mergeCell ref="A1:F1"/>
    <mergeCell ref="A2:F2"/>
    <mergeCell ref="B4:D4"/>
    <mergeCell ref="D8:E8"/>
    <mergeCell ref="A10:F10"/>
  </mergeCells>
  <printOptions horizontalCentered="1"/>
  <pageMargins left="0" right="0" top="0" bottom="0" header="0.31496062992125984" footer="0.31496062992125984"/>
  <pageSetup scale="8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USUARIOS!$B$4:$B$56</xm:f>
          </x14:formula1>
          <xm:sqref>B4:D4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H56"/>
  <sheetViews>
    <sheetView workbookViewId="0">
      <selection activeCell="B4" sqref="B4:D4"/>
    </sheetView>
  </sheetViews>
  <sheetFormatPr baseColWidth="10" defaultColWidth="11.42578125" defaultRowHeight="15" x14ac:dyDescent="0.25"/>
  <cols>
    <col min="1" max="1" width="21.7109375" style="1" customWidth="1"/>
    <col min="2" max="2" width="11.5703125" style="1" customWidth="1"/>
    <col min="3" max="3" width="11.42578125" style="1" customWidth="1"/>
    <col min="4" max="4" width="16.28515625" style="1" customWidth="1"/>
    <col min="5" max="5" width="14.5703125" style="1" customWidth="1"/>
    <col min="6" max="6" width="45.140625" style="1" bestFit="1" customWidth="1"/>
    <col min="7" max="16384" width="11.42578125" style="1"/>
  </cols>
  <sheetData>
    <row r="1" spans="1:6" ht="37.5" customHeight="1" x14ac:dyDescent="0.25">
      <c r="A1" s="132" t="s">
        <v>0</v>
      </c>
      <c r="B1" s="132"/>
      <c r="C1" s="132"/>
      <c r="D1" s="132"/>
      <c r="E1" s="132"/>
      <c r="F1" s="132"/>
    </row>
    <row r="2" spans="1:6" s="4" customFormat="1" ht="26.25" customHeight="1" thickBot="1" x14ac:dyDescent="0.4">
      <c r="A2" s="133" t="s">
        <v>78</v>
      </c>
      <c r="B2" s="133"/>
      <c r="C2" s="133"/>
      <c r="D2" s="133"/>
      <c r="E2" s="133"/>
      <c r="F2" s="133"/>
    </row>
    <row r="3" spans="1:6" ht="12" customHeight="1" thickBot="1" x14ac:dyDescent="0.3">
      <c r="A3" s="28"/>
      <c r="B3" s="29"/>
      <c r="C3" s="29"/>
      <c r="D3" s="29"/>
      <c r="E3" s="29"/>
      <c r="F3" s="84"/>
    </row>
    <row r="4" spans="1:6" s="2" customFormat="1" ht="12" customHeight="1" thickBot="1" x14ac:dyDescent="0.3">
      <c r="A4" s="13" t="s">
        <v>60</v>
      </c>
      <c r="B4" s="118" t="s">
        <v>357</v>
      </c>
      <c r="C4" s="118"/>
      <c r="D4" s="118"/>
      <c r="E4" s="82" t="s">
        <v>256</v>
      </c>
      <c r="F4" s="84"/>
    </row>
    <row r="5" spans="1:6" s="2" customFormat="1" ht="12" customHeight="1" x14ac:dyDescent="0.25">
      <c r="A5" s="12"/>
      <c r="B5" s="34"/>
      <c r="C5" s="34"/>
      <c r="D5" s="34"/>
      <c r="E5" s="34"/>
      <c r="F5" s="35"/>
    </row>
    <row r="6" spans="1:6" s="2" customFormat="1" ht="12" customHeight="1" thickBot="1" x14ac:dyDescent="0.3">
      <c r="A6" s="13" t="s">
        <v>16</v>
      </c>
      <c r="B6" s="31" t="s">
        <v>48</v>
      </c>
      <c r="C6" s="32"/>
      <c r="D6" s="32"/>
      <c r="E6" s="32"/>
      <c r="F6" s="33"/>
    </row>
    <row r="7" spans="1:6" s="5" customFormat="1" ht="12" customHeight="1" x14ac:dyDescent="0.25">
      <c r="A7" s="36"/>
      <c r="B7" s="37"/>
      <c r="C7" s="37"/>
      <c r="D7" s="37"/>
      <c r="E7" s="37"/>
      <c r="F7" s="38"/>
    </row>
    <row r="8" spans="1:6" s="5" customFormat="1" ht="12" customHeight="1" thickBot="1" x14ac:dyDescent="0.3">
      <c r="A8" s="36"/>
      <c r="B8" s="37"/>
      <c r="C8" s="37"/>
      <c r="D8" s="134" t="s">
        <v>61</v>
      </c>
      <c r="E8" s="134"/>
      <c r="F8" s="53">
        <f ca="1">NOW()</f>
        <v>46196.458986458332</v>
      </c>
    </row>
    <row r="9" spans="1:6" s="2" customFormat="1" ht="12" customHeight="1" thickBot="1" x14ac:dyDescent="0.3">
      <c r="A9" s="39"/>
      <c r="B9" s="32"/>
      <c r="C9" s="32"/>
      <c r="D9" s="32"/>
      <c r="E9" s="32"/>
      <c r="F9" s="64">
        <f ca="1">NOW()</f>
        <v>46196.458986458332</v>
      </c>
    </row>
    <row r="10" spans="1:6" s="6" customFormat="1" ht="13.5" thickBot="1" x14ac:dyDescent="0.25">
      <c r="A10" s="135" t="s">
        <v>17</v>
      </c>
      <c r="B10" s="136"/>
      <c r="C10" s="136"/>
      <c r="D10" s="136"/>
      <c r="E10" s="136"/>
      <c r="F10" s="137"/>
    </row>
    <row r="11" spans="1:6" s="14" customFormat="1" ht="13.5" thickBot="1" x14ac:dyDescent="0.25">
      <c r="A11" s="40" t="s">
        <v>11</v>
      </c>
      <c r="B11" s="40" t="s">
        <v>12</v>
      </c>
      <c r="C11" s="40" t="s">
        <v>13</v>
      </c>
      <c r="D11" s="40" t="s">
        <v>37</v>
      </c>
      <c r="E11" s="40" t="s">
        <v>51</v>
      </c>
      <c r="F11" s="40" t="s">
        <v>10</v>
      </c>
    </row>
    <row r="12" spans="1:6" x14ac:dyDescent="0.25">
      <c r="A12" s="11" t="s">
        <v>49</v>
      </c>
      <c r="B12" s="45" t="s">
        <v>145</v>
      </c>
      <c r="C12" s="45" t="s">
        <v>146</v>
      </c>
      <c r="D12" s="45" t="s">
        <v>147</v>
      </c>
      <c r="E12" s="46">
        <v>1</v>
      </c>
      <c r="F12" s="129" t="s">
        <v>58</v>
      </c>
    </row>
    <row r="13" spans="1:6" x14ac:dyDescent="0.25">
      <c r="A13" s="9" t="s">
        <v>52</v>
      </c>
      <c r="B13" s="45" t="s">
        <v>50</v>
      </c>
      <c r="C13" s="45" t="s">
        <v>53</v>
      </c>
      <c r="D13" s="45" t="s">
        <v>148</v>
      </c>
      <c r="E13" s="46">
        <v>1</v>
      </c>
      <c r="F13" s="130"/>
    </row>
    <row r="14" spans="1:6" x14ac:dyDescent="0.25">
      <c r="A14" s="9" t="s">
        <v>54</v>
      </c>
      <c r="B14" s="45" t="s">
        <v>55</v>
      </c>
      <c r="C14" s="45"/>
      <c r="D14" s="45" t="s">
        <v>150</v>
      </c>
      <c r="E14" s="45"/>
      <c r="F14" s="130"/>
    </row>
    <row r="15" spans="1:6" x14ac:dyDescent="0.25">
      <c r="A15" s="9" t="s">
        <v>56</v>
      </c>
      <c r="B15" s="45"/>
      <c r="C15" s="45" t="s">
        <v>57</v>
      </c>
      <c r="D15" s="55">
        <v>865298031325593</v>
      </c>
      <c r="E15" s="49">
        <v>1</v>
      </c>
      <c r="F15" s="131"/>
    </row>
    <row r="16" spans="1:6" x14ac:dyDescent="0.25">
      <c r="A16" s="47" t="s">
        <v>59</v>
      </c>
      <c r="B16" s="50"/>
      <c r="C16" s="48"/>
      <c r="D16" s="48"/>
      <c r="E16" s="51"/>
      <c r="F16" s="52"/>
    </row>
    <row r="17" spans="1:6" ht="21.75" thickBot="1" x14ac:dyDescent="0.4">
      <c r="A17" s="10" t="s">
        <v>1</v>
      </c>
      <c r="B17" s="141"/>
      <c r="C17" s="142"/>
      <c r="D17" s="142"/>
      <c r="E17" s="142"/>
      <c r="F17" s="143"/>
    </row>
    <row r="18" spans="1:6" s="14" customFormat="1" ht="13.5" thickBot="1" x14ac:dyDescent="0.25">
      <c r="A18" s="135" t="s">
        <v>18</v>
      </c>
      <c r="B18" s="136"/>
      <c r="C18" s="136"/>
      <c r="D18" s="136"/>
      <c r="E18" s="136"/>
      <c r="F18" s="137"/>
    </row>
    <row r="19" spans="1:6" s="14" customFormat="1" ht="13.5" thickBot="1" x14ac:dyDescent="0.25">
      <c r="A19" s="43" t="s">
        <v>11</v>
      </c>
      <c r="B19" s="43" t="s">
        <v>14</v>
      </c>
      <c r="C19" s="43" t="s">
        <v>15</v>
      </c>
      <c r="D19" s="135" t="s">
        <v>10</v>
      </c>
      <c r="E19" s="136"/>
      <c r="F19" s="137"/>
    </row>
    <row r="20" spans="1:6" x14ac:dyDescent="0.25">
      <c r="A20" s="8" t="s">
        <v>2</v>
      </c>
      <c r="B20" s="44"/>
      <c r="C20" s="44"/>
      <c r="D20" s="144"/>
      <c r="E20" s="145"/>
      <c r="F20" s="146"/>
    </row>
    <row r="21" spans="1:6" x14ac:dyDescent="0.25">
      <c r="A21" s="9" t="s">
        <v>3</v>
      </c>
      <c r="B21" s="41"/>
      <c r="C21" s="41"/>
      <c r="D21" s="147"/>
      <c r="E21" s="148"/>
      <c r="F21" s="149"/>
    </row>
    <row r="22" spans="1:6" x14ac:dyDescent="0.25">
      <c r="A22" s="9" t="s">
        <v>4</v>
      </c>
      <c r="B22" s="41"/>
      <c r="C22" s="41"/>
      <c r="D22" s="147"/>
      <c r="E22" s="148"/>
      <c r="F22" s="149"/>
    </row>
    <row r="23" spans="1:6" x14ac:dyDescent="0.25">
      <c r="A23" s="9" t="s">
        <v>5</v>
      </c>
      <c r="B23" s="41"/>
      <c r="C23" s="41"/>
      <c r="D23" s="147"/>
      <c r="E23" s="148"/>
      <c r="F23" s="149"/>
    </row>
    <row r="24" spans="1:6" x14ac:dyDescent="0.25">
      <c r="A24" s="9" t="s">
        <v>6</v>
      </c>
      <c r="B24" s="41"/>
      <c r="C24" s="41"/>
      <c r="D24" s="147"/>
      <c r="E24" s="148"/>
      <c r="F24" s="149"/>
    </row>
    <row r="25" spans="1:6" x14ac:dyDescent="0.25">
      <c r="A25" s="9" t="s">
        <v>7</v>
      </c>
      <c r="B25" s="41"/>
      <c r="C25" s="41"/>
      <c r="D25" s="147"/>
      <c r="E25" s="148"/>
      <c r="F25" s="149"/>
    </row>
    <row r="26" spans="1:6" x14ac:dyDescent="0.25">
      <c r="A26" s="9" t="s">
        <v>1</v>
      </c>
      <c r="B26" s="41"/>
      <c r="C26" s="41"/>
      <c r="D26" s="147"/>
      <c r="E26" s="148"/>
      <c r="F26" s="149"/>
    </row>
    <row r="27" spans="1:6" ht="15.75" thickBot="1" x14ac:dyDescent="0.3">
      <c r="A27" s="10" t="s">
        <v>1</v>
      </c>
      <c r="B27" s="42"/>
      <c r="C27" s="42"/>
      <c r="D27" s="150"/>
      <c r="E27" s="151"/>
      <c r="F27" s="152"/>
    </row>
    <row r="28" spans="1:6" s="14" customFormat="1" ht="13.5" thickBot="1" x14ac:dyDescent="0.25">
      <c r="A28" s="138" t="s">
        <v>8</v>
      </c>
      <c r="B28" s="139"/>
      <c r="C28" s="139"/>
      <c r="D28" s="139"/>
      <c r="E28" s="139"/>
      <c r="F28" s="140"/>
    </row>
    <row r="29" spans="1:6" s="3" customFormat="1" ht="18.75" x14ac:dyDescent="0.3">
      <c r="A29" s="8" t="s">
        <v>9</v>
      </c>
      <c r="B29" s="44"/>
      <c r="C29" s="155"/>
      <c r="D29" s="155"/>
      <c r="E29" s="144"/>
      <c r="F29" s="156"/>
    </row>
    <row r="30" spans="1:6" x14ac:dyDescent="0.25">
      <c r="A30" s="9" t="s">
        <v>47</v>
      </c>
      <c r="B30" s="41"/>
      <c r="C30" s="157"/>
      <c r="D30" s="157"/>
      <c r="E30" s="147"/>
      <c r="F30" s="158"/>
    </row>
    <row r="31" spans="1:6" x14ac:dyDescent="0.25">
      <c r="B31" s="41"/>
      <c r="C31" s="157"/>
      <c r="D31" s="157"/>
      <c r="E31" s="147"/>
      <c r="F31" s="158"/>
    </row>
    <row r="32" spans="1:6" x14ac:dyDescent="0.25">
      <c r="A32" s="9"/>
      <c r="B32" s="41"/>
      <c r="C32" s="157"/>
      <c r="D32" s="157"/>
      <c r="E32" s="147"/>
      <c r="F32" s="158"/>
    </row>
    <row r="33" spans="1:8" ht="15.75" thickBot="1" x14ac:dyDescent="0.3">
      <c r="A33" s="10"/>
      <c r="B33" s="42"/>
      <c r="C33" s="159"/>
      <c r="D33" s="159"/>
      <c r="E33" s="150"/>
      <c r="F33" s="160"/>
    </row>
    <row r="34" spans="1:8" ht="12.95" customHeight="1" x14ac:dyDescent="0.25">
      <c r="A34" s="54" t="s">
        <v>19</v>
      </c>
      <c r="B34" s="54"/>
      <c r="C34" s="54"/>
      <c r="D34" s="54"/>
      <c r="E34" s="54"/>
      <c r="F34" s="54"/>
      <c r="G34" s="7"/>
      <c r="H34" s="7"/>
    </row>
    <row r="35" spans="1:8" ht="12.95" customHeight="1" x14ac:dyDescent="0.25">
      <c r="A35" s="7" t="s">
        <v>20</v>
      </c>
      <c r="B35"/>
      <c r="C35"/>
      <c r="D35"/>
      <c r="E35"/>
      <c r="F35"/>
      <c r="G35" s="7"/>
      <c r="H35" s="7"/>
    </row>
    <row r="36" spans="1:8" ht="12.95" customHeight="1" x14ac:dyDescent="0.25">
      <c r="A36" s="153" t="s">
        <v>21</v>
      </c>
      <c r="B36" s="154"/>
      <c r="C36" s="154"/>
      <c r="D36" s="154"/>
      <c r="E36" s="154"/>
      <c r="F36" s="154"/>
      <c r="G36" s="7"/>
      <c r="H36" s="7"/>
    </row>
    <row r="37" spans="1:8" ht="12.95" customHeight="1" x14ac:dyDescent="0.25">
      <c r="A37" s="153" t="s">
        <v>22</v>
      </c>
      <c r="B37" s="154"/>
      <c r="C37" s="154"/>
      <c r="D37" s="154"/>
      <c r="E37" s="154"/>
      <c r="F37" s="154"/>
      <c r="G37" s="7"/>
      <c r="H37" s="7"/>
    </row>
    <row r="38" spans="1:8" ht="12.95" customHeight="1" x14ac:dyDescent="0.25">
      <c r="A38" s="153" t="s">
        <v>23</v>
      </c>
      <c r="B38" s="154"/>
      <c r="C38" s="154"/>
      <c r="D38" s="154"/>
      <c r="E38" s="154"/>
      <c r="F38" s="154"/>
      <c r="G38" s="7"/>
      <c r="H38" s="7"/>
    </row>
    <row r="39" spans="1:8" ht="12.95" customHeight="1" x14ac:dyDescent="0.25">
      <c r="A39" s="153" t="s">
        <v>24</v>
      </c>
      <c r="B39" s="154"/>
      <c r="C39" s="154"/>
      <c r="D39" s="154"/>
      <c r="E39" s="154"/>
      <c r="F39" s="154"/>
      <c r="G39" s="7"/>
      <c r="H39" s="7"/>
    </row>
    <row r="40" spans="1:8" ht="12.95" customHeight="1" x14ac:dyDescent="0.25">
      <c r="A40" s="153" t="s">
        <v>25</v>
      </c>
      <c r="B40" s="154"/>
      <c r="C40" s="154"/>
      <c r="D40" s="154"/>
      <c r="E40" s="154"/>
      <c r="F40" s="154"/>
      <c r="G40" s="7"/>
      <c r="H40" s="7"/>
    </row>
    <row r="41" spans="1:8" ht="12.95" customHeight="1" x14ac:dyDescent="0.25">
      <c r="A41" s="153" t="s">
        <v>26</v>
      </c>
      <c r="B41" s="154"/>
      <c r="C41" s="154"/>
      <c r="D41" s="154"/>
      <c r="E41" s="154"/>
      <c r="F41" s="154"/>
      <c r="G41" s="7"/>
      <c r="H41" s="7"/>
    </row>
    <row r="42" spans="1:8" ht="12.95" customHeight="1" x14ac:dyDescent="0.25">
      <c r="A42" s="153" t="s">
        <v>27</v>
      </c>
      <c r="B42" s="154"/>
      <c r="C42" s="154"/>
      <c r="D42" s="154"/>
      <c r="E42" s="154"/>
      <c r="F42" s="154"/>
      <c r="G42" s="7"/>
      <c r="H42" s="7"/>
    </row>
    <row r="43" spans="1:8" ht="12.95" customHeight="1" x14ac:dyDescent="0.25">
      <c r="A43" s="153" t="s">
        <v>28</v>
      </c>
      <c r="B43" s="154"/>
      <c r="C43" s="154"/>
      <c r="D43" s="154"/>
      <c r="E43" s="154"/>
      <c r="F43" s="154"/>
      <c r="G43" s="7"/>
      <c r="H43" s="7"/>
    </row>
    <row r="44" spans="1:8" ht="12.95" customHeight="1" x14ac:dyDescent="0.25">
      <c r="A44" s="153" t="s">
        <v>29</v>
      </c>
      <c r="B44" s="154"/>
      <c r="C44" s="154"/>
      <c r="D44" s="154"/>
      <c r="E44" s="154"/>
      <c r="F44" s="154"/>
      <c r="G44" s="7"/>
      <c r="H44" s="7"/>
    </row>
    <row r="45" spans="1:8" ht="12.95" customHeight="1" x14ac:dyDescent="0.25">
      <c r="A45" s="153" t="s">
        <v>30</v>
      </c>
      <c r="B45" s="154"/>
      <c r="C45" s="154"/>
      <c r="D45" s="154"/>
      <c r="E45" s="154"/>
      <c r="F45" s="154"/>
      <c r="G45" s="7"/>
      <c r="H45" s="7"/>
    </row>
    <row r="46" spans="1:8" ht="12.95" customHeight="1" x14ac:dyDescent="0.25">
      <c r="A46" s="153" t="s">
        <v>31</v>
      </c>
      <c r="B46" s="154"/>
      <c r="C46" s="154"/>
      <c r="D46" s="154"/>
      <c r="E46" s="154"/>
      <c r="F46" s="154"/>
      <c r="G46" s="7"/>
      <c r="H46" s="7"/>
    </row>
    <row r="47" spans="1:8" ht="12.95" customHeight="1" x14ac:dyDescent="0.25">
      <c r="A47" s="153" t="s">
        <v>32</v>
      </c>
      <c r="B47" s="154"/>
      <c r="C47" s="154"/>
      <c r="D47" s="154"/>
      <c r="E47" s="154"/>
      <c r="F47" s="154"/>
      <c r="G47" s="7"/>
      <c r="H47" s="7"/>
    </row>
    <row r="48" spans="1:8" ht="12.95" customHeight="1" x14ac:dyDescent="0.25">
      <c r="A48" s="153" t="s">
        <v>33</v>
      </c>
      <c r="B48" s="154"/>
      <c r="C48" s="154"/>
      <c r="D48" s="154"/>
      <c r="E48" s="154"/>
      <c r="F48" s="154"/>
      <c r="G48" s="7"/>
      <c r="H48" s="7"/>
    </row>
    <row r="49" spans="1:8" ht="12.95" customHeight="1" x14ac:dyDescent="0.25">
      <c r="A49" s="163" t="s">
        <v>212</v>
      </c>
      <c r="B49" s="163"/>
      <c r="C49" s="163"/>
      <c r="D49" s="163"/>
      <c r="E49" s="163"/>
      <c r="F49" s="163"/>
      <c r="G49" s="7"/>
      <c r="H49" s="7"/>
    </row>
    <row r="50" spans="1:8" ht="12.95" customHeight="1" x14ac:dyDescent="0.25">
      <c r="A50" s="153" t="s">
        <v>34</v>
      </c>
      <c r="B50" s="154"/>
      <c r="C50" s="154"/>
      <c r="D50" s="154"/>
      <c r="E50" s="154"/>
      <c r="F50" s="154"/>
      <c r="G50" s="7"/>
      <c r="H50" s="7"/>
    </row>
    <row r="51" spans="1:8" ht="12.95" customHeight="1" x14ac:dyDescent="0.25"/>
    <row r="52" spans="1:8" ht="12.95" customHeight="1" x14ac:dyDescent="0.25"/>
    <row r="53" spans="1:8" ht="12.95" customHeight="1" x14ac:dyDescent="0.25"/>
    <row r="54" spans="1:8" ht="12.95" customHeight="1" x14ac:dyDescent="0.25">
      <c r="A54" s="161" t="str">
        <f>B4</f>
        <v>JORGE ISAIAS RIVAS IBARRA</v>
      </c>
      <c r="B54" s="161"/>
      <c r="C54" s="161"/>
      <c r="D54" s="161"/>
      <c r="E54" s="161"/>
      <c r="F54" s="161"/>
    </row>
    <row r="55" spans="1:8" ht="3" customHeight="1" x14ac:dyDescent="0.25">
      <c r="A55" s="161" t="s">
        <v>213</v>
      </c>
      <c r="B55" s="161"/>
      <c r="C55" s="161"/>
      <c r="D55" s="161"/>
      <c r="E55" s="161"/>
      <c r="F55" s="161"/>
    </row>
    <row r="56" spans="1:8" ht="12.95" customHeight="1" x14ac:dyDescent="0.25">
      <c r="A56" s="162" t="s">
        <v>35</v>
      </c>
      <c r="B56" s="162"/>
      <c r="C56" s="162"/>
      <c r="D56" s="162"/>
      <c r="E56" s="162"/>
      <c r="F56" s="162"/>
    </row>
  </sheetData>
  <mergeCells count="41">
    <mergeCell ref="A54:F54"/>
    <mergeCell ref="A10:F10"/>
    <mergeCell ref="C29:F29"/>
    <mergeCell ref="C30:F30"/>
    <mergeCell ref="C31:F31"/>
    <mergeCell ref="C32:F32"/>
    <mergeCell ref="C33:F33"/>
    <mergeCell ref="D25:F25"/>
    <mergeCell ref="D26:F26"/>
    <mergeCell ref="D27:F27"/>
    <mergeCell ref="D19:F19"/>
    <mergeCell ref="A18:F18"/>
    <mergeCell ref="A28:F28"/>
    <mergeCell ref="D24:F24"/>
    <mergeCell ref="B17:F17"/>
    <mergeCell ref="A48:F48"/>
    <mergeCell ref="A1:F1"/>
    <mergeCell ref="D20:F20"/>
    <mergeCell ref="D21:F21"/>
    <mergeCell ref="D22:F22"/>
    <mergeCell ref="D23:F23"/>
    <mergeCell ref="F12:F15"/>
    <mergeCell ref="D8:E8"/>
    <mergeCell ref="B4:D4"/>
    <mergeCell ref="A2:F2"/>
    <mergeCell ref="A50:F50"/>
    <mergeCell ref="A55:F55"/>
    <mergeCell ref="A56:F56"/>
    <mergeCell ref="A49:F49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</mergeCells>
  <printOptions horizontalCentered="1"/>
  <pageMargins left="0" right="0" top="0" bottom="0" header="0.31496062992125984" footer="0.31496062992125984"/>
  <pageSetup scale="8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USUARIOS!$B$4:$B$56</xm:f>
          </x14:formula1>
          <xm:sqref>B4:D4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C47"/>
  <sheetViews>
    <sheetView workbookViewId="0">
      <selection activeCell="B15" sqref="B15"/>
    </sheetView>
  </sheetViews>
  <sheetFormatPr baseColWidth="10" defaultRowHeight="15" x14ac:dyDescent="0.25"/>
  <cols>
    <col min="1" max="1" width="15.140625" customWidth="1"/>
    <col min="2" max="2" width="49.42578125" customWidth="1"/>
    <col min="3" max="3" width="30.5703125" customWidth="1"/>
  </cols>
  <sheetData>
    <row r="1" spans="1:3" x14ac:dyDescent="0.25">
      <c r="A1" s="17"/>
      <c r="B1" s="23"/>
      <c r="C1" s="24"/>
    </row>
    <row r="2" spans="1:3" ht="17.100000000000001" customHeight="1" thickBot="1" x14ac:dyDescent="0.3">
      <c r="A2" s="18"/>
      <c r="B2" s="19" t="s">
        <v>42</v>
      </c>
      <c r="C2" s="20"/>
    </row>
    <row r="3" spans="1:3" ht="17.100000000000001" customHeight="1" thickBot="1" x14ac:dyDescent="0.3">
      <c r="A3" s="18"/>
      <c r="B3" s="19" t="s">
        <v>40</v>
      </c>
      <c r="C3" s="20"/>
    </row>
    <row r="4" spans="1:3" ht="17.100000000000001" customHeight="1" thickBot="1" x14ac:dyDescent="0.3">
      <c r="A4" s="18"/>
      <c r="B4" s="19" t="s">
        <v>46</v>
      </c>
      <c r="C4" s="20"/>
    </row>
    <row r="5" spans="1:3" ht="6.95" customHeight="1" thickBot="1" x14ac:dyDescent="0.3">
      <c r="A5" s="22"/>
      <c r="B5" s="15"/>
      <c r="C5" s="20"/>
    </row>
    <row r="6" spans="1:3" ht="15.75" thickBot="1" x14ac:dyDescent="0.3">
      <c r="A6" s="16" t="s">
        <v>41</v>
      </c>
      <c r="B6" s="16" t="s">
        <v>38</v>
      </c>
      <c r="C6" s="16" t="s">
        <v>39</v>
      </c>
    </row>
    <row r="7" spans="1:3" x14ac:dyDescent="0.25">
      <c r="A7" s="25"/>
      <c r="B7" s="25"/>
      <c r="C7" s="21"/>
    </row>
    <row r="8" spans="1:3" x14ac:dyDescent="0.25">
      <c r="A8" s="26"/>
      <c r="B8" s="26"/>
      <c r="C8" s="21"/>
    </row>
    <row r="9" spans="1:3" x14ac:dyDescent="0.25">
      <c r="A9" s="26"/>
      <c r="B9" s="26"/>
      <c r="C9" s="21"/>
    </row>
    <row r="10" spans="1:3" x14ac:dyDescent="0.25">
      <c r="A10" s="26"/>
      <c r="B10" s="26"/>
      <c r="C10" s="21"/>
    </row>
    <row r="11" spans="1:3" x14ac:dyDescent="0.25">
      <c r="A11" s="26"/>
      <c r="B11" s="26"/>
      <c r="C11" s="21"/>
    </row>
    <row r="12" spans="1:3" x14ac:dyDescent="0.25">
      <c r="A12" s="26"/>
      <c r="B12" s="26"/>
      <c r="C12" s="21"/>
    </row>
    <row r="13" spans="1:3" x14ac:dyDescent="0.25">
      <c r="A13" s="26"/>
      <c r="B13" s="26"/>
      <c r="C13" s="21"/>
    </row>
    <row r="14" spans="1:3" x14ac:dyDescent="0.25">
      <c r="A14" s="26"/>
      <c r="B14" s="26"/>
      <c r="C14" s="21"/>
    </row>
    <row r="15" spans="1:3" x14ac:dyDescent="0.25">
      <c r="A15" s="26"/>
      <c r="B15" s="26"/>
      <c r="C15" s="21"/>
    </row>
    <row r="16" spans="1:3" x14ac:dyDescent="0.25">
      <c r="A16" s="26"/>
      <c r="B16" s="26"/>
      <c r="C16" s="21"/>
    </row>
    <row r="17" spans="1:3" x14ac:dyDescent="0.25">
      <c r="A17" s="26"/>
      <c r="B17" s="26"/>
      <c r="C17" s="21"/>
    </row>
    <row r="18" spans="1:3" ht="15.75" thickBot="1" x14ac:dyDescent="0.3">
      <c r="A18" s="27"/>
      <c r="B18" s="27"/>
      <c r="C18" s="20"/>
    </row>
    <row r="20" spans="1:3" x14ac:dyDescent="0.25">
      <c r="A20" s="161" t="s">
        <v>43</v>
      </c>
      <c r="B20" s="161"/>
      <c r="C20" s="161"/>
    </row>
    <row r="22" spans="1:3" x14ac:dyDescent="0.25">
      <c r="A22" s="165" t="s">
        <v>45</v>
      </c>
      <c r="B22" s="165"/>
      <c r="C22" s="165"/>
    </row>
    <row r="23" spans="1:3" ht="15.75" x14ac:dyDescent="0.25">
      <c r="A23" s="164" t="s">
        <v>44</v>
      </c>
      <c r="B23" s="164"/>
      <c r="C23" s="164"/>
    </row>
    <row r="24" spans="1:3" ht="15.75" thickBot="1" x14ac:dyDescent="0.3"/>
    <row r="25" spans="1:3" x14ac:dyDescent="0.25">
      <c r="A25" s="17"/>
      <c r="B25" s="23"/>
      <c r="C25" s="24"/>
    </row>
    <row r="26" spans="1:3" ht="15.75" thickBot="1" x14ac:dyDescent="0.3">
      <c r="A26" s="18"/>
      <c r="B26" s="19" t="s">
        <v>42</v>
      </c>
      <c r="C26" s="20"/>
    </row>
    <row r="27" spans="1:3" ht="15.75" thickBot="1" x14ac:dyDescent="0.3">
      <c r="A27" s="18"/>
      <c r="B27" s="19" t="s">
        <v>40</v>
      </c>
      <c r="C27" s="20"/>
    </row>
    <row r="28" spans="1:3" ht="15.75" thickBot="1" x14ac:dyDescent="0.3">
      <c r="A28" s="18"/>
      <c r="B28" s="19" t="s">
        <v>46</v>
      </c>
      <c r="C28" s="20"/>
    </row>
    <row r="29" spans="1:3" ht="6.95" customHeight="1" thickBot="1" x14ac:dyDescent="0.3">
      <c r="A29" s="22"/>
      <c r="B29" s="15"/>
      <c r="C29" s="20"/>
    </row>
    <row r="30" spans="1:3" ht="15.75" thickBot="1" x14ac:dyDescent="0.3">
      <c r="A30" s="16" t="s">
        <v>41</v>
      </c>
      <c r="B30" s="16" t="s">
        <v>38</v>
      </c>
      <c r="C30" s="16" t="s">
        <v>39</v>
      </c>
    </row>
    <row r="31" spans="1:3" x14ac:dyDescent="0.25">
      <c r="A31" s="25"/>
      <c r="B31" s="25"/>
      <c r="C31" s="21"/>
    </row>
    <row r="32" spans="1:3" x14ac:dyDescent="0.25">
      <c r="A32" s="26"/>
      <c r="B32" s="26"/>
      <c r="C32" s="21"/>
    </row>
    <row r="33" spans="1:3" x14ac:dyDescent="0.25">
      <c r="A33" s="26"/>
      <c r="B33" s="26"/>
      <c r="C33" s="21"/>
    </row>
    <row r="34" spans="1:3" x14ac:dyDescent="0.25">
      <c r="A34" s="26"/>
      <c r="B34" s="26"/>
      <c r="C34" s="21"/>
    </row>
    <row r="35" spans="1:3" x14ac:dyDescent="0.25">
      <c r="A35" s="26"/>
      <c r="B35" s="26"/>
      <c r="C35" s="21"/>
    </row>
    <row r="36" spans="1:3" x14ac:dyDescent="0.25">
      <c r="A36" s="26"/>
      <c r="B36" s="26"/>
      <c r="C36" s="21"/>
    </row>
    <row r="37" spans="1:3" x14ac:dyDescent="0.25">
      <c r="A37" s="26"/>
      <c r="B37" s="26"/>
      <c r="C37" s="21"/>
    </row>
    <row r="38" spans="1:3" x14ac:dyDescent="0.25">
      <c r="A38" s="26"/>
      <c r="B38" s="26"/>
      <c r="C38" s="21"/>
    </row>
    <row r="39" spans="1:3" x14ac:dyDescent="0.25">
      <c r="A39" s="26"/>
      <c r="B39" s="26"/>
      <c r="C39" s="21"/>
    </row>
    <row r="40" spans="1:3" x14ac:dyDescent="0.25">
      <c r="A40" s="26"/>
      <c r="B40" s="26"/>
      <c r="C40" s="21"/>
    </row>
    <row r="41" spans="1:3" x14ac:dyDescent="0.25">
      <c r="A41" s="26"/>
      <c r="B41" s="26"/>
      <c r="C41" s="21"/>
    </row>
    <row r="42" spans="1:3" ht="15.75" thickBot="1" x14ac:dyDescent="0.3">
      <c r="A42" s="27"/>
      <c r="B42" s="27"/>
      <c r="C42" s="20"/>
    </row>
    <row r="44" spans="1:3" x14ac:dyDescent="0.25">
      <c r="A44" s="161" t="s">
        <v>43</v>
      </c>
      <c r="B44" s="161"/>
      <c r="C44" s="161"/>
    </row>
    <row r="46" spans="1:3" x14ac:dyDescent="0.25">
      <c r="A46" s="165" t="s">
        <v>45</v>
      </c>
      <c r="B46" s="165"/>
      <c r="C46" s="165"/>
    </row>
    <row r="47" spans="1:3" ht="15.75" x14ac:dyDescent="0.25">
      <c r="A47" s="164" t="s">
        <v>44</v>
      </c>
      <c r="B47" s="164"/>
      <c r="C47" s="164"/>
    </row>
  </sheetData>
  <mergeCells count="6">
    <mergeCell ref="A47:C47"/>
    <mergeCell ref="A20:C20"/>
    <mergeCell ref="A23:C23"/>
    <mergeCell ref="A22:C22"/>
    <mergeCell ref="A44:C44"/>
    <mergeCell ref="A46:C46"/>
  </mergeCells>
  <printOptions horizontalCentered="1"/>
  <pageMargins left="0.23622047244094491" right="0" top="0.74803149606299213" bottom="0.74803149606299213" header="0.31496062992125984" footer="0.31496062992125984"/>
  <pageSetup orientation="portrait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H56"/>
  <sheetViews>
    <sheetView workbookViewId="0">
      <selection activeCell="B12" sqref="B12"/>
    </sheetView>
  </sheetViews>
  <sheetFormatPr baseColWidth="10" defaultColWidth="11.42578125" defaultRowHeight="15" x14ac:dyDescent="0.25"/>
  <cols>
    <col min="1" max="1" width="21.7109375" style="1" customWidth="1"/>
    <col min="2" max="2" width="11.5703125" style="1" customWidth="1"/>
    <col min="3" max="3" width="11.42578125" style="1" customWidth="1"/>
    <col min="4" max="5" width="14.5703125" style="1" customWidth="1"/>
    <col min="6" max="6" width="45.140625" style="1" bestFit="1" customWidth="1"/>
    <col min="7" max="16384" width="11.42578125" style="1"/>
  </cols>
  <sheetData>
    <row r="1" spans="1:6" ht="37.5" customHeight="1" x14ac:dyDescent="0.25">
      <c r="A1" s="132" t="s">
        <v>0</v>
      </c>
      <c r="B1" s="132"/>
      <c r="C1" s="132"/>
      <c r="D1" s="132"/>
      <c r="E1" s="132"/>
      <c r="F1" s="132"/>
    </row>
    <row r="2" spans="1:6" s="4" customFormat="1" ht="26.25" customHeight="1" thickBot="1" x14ac:dyDescent="0.4">
      <c r="A2" s="133" t="s">
        <v>66</v>
      </c>
      <c r="B2" s="133"/>
      <c r="C2" s="133"/>
      <c r="D2" s="133"/>
      <c r="E2" s="133"/>
      <c r="F2" s="133"/>
    </row>
    <row r="3" spans="1:6" ht="12" customHeight="1" x14ac:dyDescent="0.25">
      <c r="A3" s="28"/>
      <c r="B3" s="29"/>
      <c r="C3" s="29"/>
      <c r="D3" s="29"/>
      <c r="E3" s="29"/>
      <c r="F3" s="30"/>
    </row>
    <row r="4" spans="1:6" s="2" customFormat="1" ht="12" customHeight="1" thickBot="1" x14ac:dyDescent="0.3">
      <c r="A4" s="13" t="s">
        <v>60</v>
      </c>
      <c r="B4" s="118" t="s">
        <v>389</v>
      </c>
      <c r="C4" s="118"/>
      <c r="D4" s="118"/>
      <c r="E4" s="83" t="s">
        <v>257</v>
      </c>
      <c r="F4" s="84" t="s">
        <v>266</v>
      </c>
    </row>
    <row r="5" spans="1:6" s="2" customFormat="1" ht="12" customHeight="1" x14ac:dyDescent="0.25">
      <c r="A5" s="12"/>
      <c r="B5" s="34"/>
      <c r="C5" s="34"/>
      <c r="D5" s="34"/>
      <c r="E5" s="34"/>
      <c r="F5" s="35"/>
    </row>
    <row r="6" spans="1:6" s="2" customFormat="1" ht="12" customHeight="1" thickBot="1" x14ac:dyDescent="0.3">
      <c r="A6" s="13" t="s">
        <v>16</v>
      </c>
      <c r="B6" s="31" t="s">
        <v>48</v>
      </c>
      <c r="C6" s="32"/>
      <c r="D6" s="32"/>
      <c r="E6" s="32"/>
      <c r="F6" s="33"/>
    </row>
    <row r="7" spans="1:6" s="5" customFormat="1" ht="12" customHeight="1" x14ac:dyDescent="0.25">
      <c r="A7" s="36"/>
      <c r="B7" s="37"/>
      <c r="C7" s="37"/>
      <c r="D7" s="37"/>
      <c r="E7" s="37"/>
      <c r="F7" s="38"/>
    </row>
    <row r="8" spans="1:6" s="5" customFormat="1" ht="12" customHeight="1" thickBot="1" x14ac:dyDescent="0.3">
      <c r="A8" s="36"/>
      <c r="B8" s="37"/>
      <c r="C8" s="37"/>
      <c r="D8" s="134" t="s">
        <v>61</v>
      </c>
      <c r="E8" s="134"/>
      <c r="F8" s="53">
        <f ca="1">NOW()</f>
        <v>46196.458986458332</v>
      </c>
    </row>
    <row r="9" spans="1:6" s="2" customFormat="1" ht="12" customHeight="1" thickBot="1" x14ac:dyDescent="0.3">
      <c r="A9" s="39"/>
      <c r="B9" s="32"/>
      <c r="C9" s="32"/>
      <c r="D9" s="32"/>
      <c r="E9" s="32"/>
      <c r="F9" s="64">
        <f ca="1">NOW()</f>
        <v>46196.458986458332</v>
      </c>
    </row>
    <row r="10" spans="1:6" s="6" customFormat="1" ht="13.5" thickBot="1" x14ac:dyDescent="0.25">
      <c r="A10" s="135" t="s">
        <v>17</v>
      </c>
      <c r="B10" s="136"/>
      <c r="C10" s="136"/>
      <c r="D10" s="136"/>
      <c r="E10" s="136"/>
      <c r="F10" s="137"/>
    </row>
    <row r="11" spans="1:6" s="14" customFormat="1" ht="13.5" thickBot="1" x14ac:dyDescent="0.25">
      <c r="A11" s="40" t="s">
        <v>11</v>
      </c>
      <c r="B11" s="40" t="s">
        <v>12</v>
      </c>
      <c r="C11" s="40" t="s">
        <v>13</v>
      </c>
      <c r="D11" s="40" t="s">
        <v>37</v>
      </c>
      <c r="E11" s="40" t="s">
        <v>51</v>
      </c>
      <c r="F11" s="40" t="s">
        <v>10</v>
      </c>
    </row>
    <row r="12" spans="1:6" x14ac:dyDescent="0.25">
      <c r="A12" s="11" t="s">
        <v>49</v>
      </c>
      <c r="B12" s="45" t="s">
        <v>50</v>
      </c>
      <c r="C12" s="45" t="s">
        <v>152</v>
      </c>
      <c r="D12" s="45" t="s">
        <v>151</v>
      </c>
      <c r="E12" s="46">
        <v>1</v>
      </c>
      <c r="F12" s="129" t="s">
        <v>71</v>
      </c>
    </row>
    <row r="13" spans="1:6" x14ac:dyDescent="0.25">
      <c r="A13" s="9" t="s">
        <v>52</v>
      </c>
      <c r="B13" s="45" t="s">
        <v>67</v>
      </c>
      <c r="C13" s="45" t="s">
        <v>68</v>
      </c>
      <c r="D13" s="45" t="s">
        <v>153</v>
      </c>
      <c r="E13" s="46">
        <v>1</v>
      </c>
      <c r="F13" s="130"/>
    </row>
    <row r="14" spans="1:6" x14ac:dyDescent="0.25">
      <c r="A14" s="9" t="s">
        <v>54</v>
      </c>
      <c r="B14" s="45" t="s">
        <v>69</v>
      </c>
      <c r="C14" s="45" t="s">
        <v>154</v>
      </c>
      <c r="D14" s="45" t="s">
        <v>70</v>
      </c>
      <c r="E14" s="45"/>
      <c r="F14" s="130"/>
    </row>
    <row r="15" spans="1:6" x14ac:dyDescent="0.25">
      <c r="A15" s="9" t="s">
        <v>56</v>
      </c>
      <c r="B15" s="45" t="s">
        <v>104</v>
      </c>
      <c r="C15" s="45"/>
      <c r="D15" s="55">
        <v>866645058868022</v>
      </c>
      <c r="E15" s="49"/>
      <c r="F15" s="131"/>
    </row>
    <row r="16" spans="1:6" x14ac:dyDescent="0.25">
      <c r="A16" s="47" t="s">
        <v>59</v>
      </c>
      <c r="B16" s="50"/>
      <c r="C16" s="48"/>
      <c r="D16" s="48"/>
      <c r="E16" s="51"/>
      <c r="F16" s="52"/>
    </row>
    <row r="17" spans="1:6" ht="21.75" thickBot="1" x14ac:dyDescent="0.4">
      <c r="A17" s="10" t="s">
        <v>1</v>
      </c>
      <c r="B17" s="141"/>
      <c r="C17" s="142"/>
      <c r="D17" s="142"/>
      <c r="E17" s="142"/>
      <c r="F17" s="143"/>
    </row>
    <row r="18" spans="1:6" s="14" customFormat="1" ht="13.5" thickBot="1" x14ac:dyDescent="0.25">
      <c r="A18" s="135" t="s">
        <v>18</v>
      </c>
      <c r="B18" s="136"/>
      <c r="C18" s="136"/>
      <c r="D18" s="136"/>
      <c r="E18" s="136"/>
      <c r="F18" s="137"/>
    </row>
    <row r="19" spans="1:6" s="14" customFormat="1" ht="13.5" thickBot="1" x14ac:dyDescent="0.25">
      <c r="A19" s="43" t="s">
        <v>11</v>
      </c>
      <c r="B19" s="43" t="s">
        <v>14</v>
      </c>
      <c r="C19" s="43" t="s">
        <v>15</v>
      </c>
      <c r="D19" s="135" t="s">
        <v>10</v>
      </c>
      <c r="E19" s="136"/>
      <c r="F19" s="137"/>
    </row>
    <row r="20" spans="1:6" x14ac:dyDescent="0.25">
      <c r="A20" s="8" t="s">
        <v>2</v>
      </c>
      <c r="B20" s="44"/>
      <c r="C20" s="44"/>
      <c r="D20" s="144"/>
      <c r="E20" s="145"/>
      <c r="F20" s="146"/>
    </row>
    <row r="21" spans="1:6" x14ac:dyDescent="0.25">
      <c r="A21" s="9" t="s">
        <v>3</v>
      </c>
      <c r="B21" s="41"/>
      <c r="C21" s="41"/>
      <c r="D21" s="147"/>
      <c r="E21" s="148"/>
      <c r="F21" s="149"/>
    </row>
    <row r="22" spans="1:6" x14ac:dyDescent="0.25">
      <c r="A22" s="9" t="s">
        <v>4</v>
      </c>
      <c r="B22" s="41"/>
      <c r="C22" s="41"/>
      <c r="D22" s="147"/>
      <c r="E22" s="148"/>
      <c r="F22" s="149"/>
    </row>
    <row r="23" spans="1:6" x14ac:dyDescent="0.25">
      <c r="A23" s="9" t="s">
        <v>5</v>
      </c>
      <c r="B23" s="41"/>
      <c r="C23" s="41"/>
      <c r="D23" s="147"/>
      <c r="E23" s="148"/>
      <c r="F23" s="149"/>
    </row>
    <row r="24" spans="1:6" x14ac:dyDescent="0.25">
      <c r="A24" s="9" t="s">
        <v>6</v>
      </c>
      <c r="B24" s="41"/>
      <c r="C24" s="41"/>
      <c r="D24" s="147"/>
      <c r="E24" s="148"/>
      <c r="F24" s="149"/>
    </row>
    <row r="25" spans="1:6" x14ac:dyDescent="0.25">
      <c r="A25" s="9" t="s">
        <v>7</v>
      </c>
      <c r="B25" s="41"/>
      <c r="C25" s="41"/>
      <c r="D25" s="147"/>
      <c r="E25" s="148"/>
      <c r="F25" s="149"/>
    </row>
    <row r="26" spans="1:6" x14ac:dyDescent="0.25">
      <c r="A26" s="9" t="s">
        <v>1</v>
      </c>
      <c r="B26" s="41"/>
      <c r="C26" s="41"/>
      <c r="D26" s="147"/>
      <c r="E26" s="148"/>
      <c r="F26" s="149"/>
    </row>
    <row r="27" spans="1:6" ht="15.75" thickBot="1" x14ac:dyDescent="0.3">
      <c r="A27" s="10" t="s">
        <v>1</v>
      </c>
      <c r="B27" s="42"/>
      <c r="C27" s="42"/>
      <c r="D27" s="150"/>
      <c r="E27" s="151"/>
      <c r="F27" s="152"/>
    </row>
    <row r="28" spans="1:6" s="14" customFormat="1" ht="13.5" thickBot="1" x14ac:dyDescent="0.25">
      <c r="A28" s="138" t="s">
        <v>8</v>
      </c>
      <c r="B28" s="139"/>
      <c r="C28" s="139"/>
      <c r="D28" s="139"/>
      <c r="E28" s="139"/>
      <c r="F28" s="140"/>
    </row>
    <row r="29" spans="1:6" s="3" customFormat="1" ht="18.75" x14ac:dyDescent="0.3">
      <c r="A29" s="8" t="s">
        <v>9</v>
      </c>
      <c r="B29" s="44"/>
      <c r="C29" s="155"/>
      <c r="D29" s="155"/>
      <c r="E29" s="144"/>
      <c r="F29" s="156"/>
    </row>
    <row r="30" spans="1:6" x14ac:dyDescent="0.25">
      <c r="A30" s="9" t="s">
        <v>47</v>
      </c>
      <c r="B30" s="41"/>
      <c r="C30" s="157"/>
      <c r="D30" s="157"/>
      <c r="E30" s="147"/>
      <c r="F30" s="158"/>
    </row>
    <row r="31" spans="1:6" x14ac:dyDescent="0.25">
      <c r="B31" s="41"/>
      <c r="C31" s="157"/>
      <c r="D31" s="157"/>
      <c r="E31" s="147"/>
      <c r="F31" s="158"/>
    </row>
    <row r="32" spans="1:6" x14ac:dyDescent="0.25">
      <c r="A32" s="9"/>
      <c r="B32" s="41"/>
      <c r="C32" s="157"/>
      <c r="D32" s="157"/>
      <c r="E32" s="147"/>
      <c r="F32" s="158"/>
    </row>
    <row r="33" spans="1:8" ht="15.75" thickBot="1" x14ac:dyDescent="0.3">
      <c r="A33" s="10"/>
      <c r="B33" s="42"/>
      <c r="C33" s="159"/>
      <c r="D33" s="159"/>
      <c r="E33" s="150"/>
      <c r="F33" s="160"/>
    </row>
    <row r="34" spans="1:8" ht="12.95" customHeight="1" x14ac:dyDescent="0.25">
      <c r="A34" s="54" t="s">
        <v>19</v>
      </c>
      <c r="B34" s="54"/>
      <c r="C34" s="54"/>
      <c r="D34" s="54"/>
      <c r="E34" s="54"/>
      <c r="F34" s="54"/>
      <c r="G34" s="7"/>
      <c r="H34" s="7"/>
    </row>
    <row r="35" spans="1:8" ht="12.95" customHeight="1" x14ac:dyDescent="0.25">
      <c r="A35" s="7" t="s">
        <v>20</v>
      </c>
      <c r="B35"/>
      <c r="C35"/>
      <c r="D35"/>
      <c r="E35"/>
      <c r="F35"/>
      <c r="G35" s="7"/>
      <c r="H35" s="7"/>
    </row>
    <row r="36" spans="1:8" ht="12.95" customHeight="1" x14ac:dyDescent="0.25">
      <c r="A36" s="153" t="s">
        <v>21</v>
      </c>
      <c r="B36" s="154"/>
      <c r="C36" s="154"/>
      <c r="D36" s="154"/>
      <c r="E36" s="154"/>
      <c r="F36" s="154"/>
      <c r="G36" s="7"/>
      <c r="H36" s="7"/>
    </row>
    <row r="37" spans="1:8" ht="12.95" customHeight="1" x14ac:dyDescent="0.25">
      <c r="A37" s="153" t="s">
        <v>22</v>
      </c>
      <c r="B37" s="154"/>
      <c r="C37" s="154"/>
      <c r="D37" s="154"/>
      <c r="E37" s="154"/>
      <c r="F37" s="154"/>
      <c r="G37" s="7"/>
      <c r="H37" s="7"/>
    </row>
    <row r="38" spans="1:8" ht="12.95" customHeight="1" x14ac:dyDescent="0.25">
      <c r="A38" s="153" t="s">
        <v>23</v>
      </c>
      <c r="B38" s="154"/>
      <c r="C38" s="154"/>
      <c r="D38" s="154"/>
      <c r="E38" s="154"/>
      <c r="F38" s="154"/>
      <c r="G38" s="7"/>
      <c r="H38" s="7"/>
    </row>
    <row r="39" spans="1:8" ht="12.95" customHeight="1" x14ac:dyDescent="0.25">
      <c r="A39" s="153" t="s">
        <v>24</v>
      </c>
      <c r="B39" s="154"/>
      <c r="C39" s="154"/>
      <c r="D39" s="154"/>
      <c r="E39" s="154"/>
      <c r="F39" s="154"/>
      <c r="G39" s="7"/>
      <c r="H39" s="7"/>
    </row>
    <row r="40" spans="1:8" ht="12.95" customHeight="1" x14ac:dyDescent="0.25">
      <c r="A40" s="153" t="s">
        <v>25</v>
      </c>
      <c r="B40" s="154"/>
      <c r="C40" s="154"/>
      <c r="D40" s="154"/>
      <c r="E40" s="154"/>
      <c r="F40" s="154"/>
      <c r="G40" s="7"/>
      <c r="H40" s="7"/>
    </row>
    <row r="41" spans="1:8" ht="12.95" customHeight="1" x14ac:dyDescent="0.25">
      <c r="A41" s="153" t="s">
        <v>26</v>
      </c>
      <c r="B41" s="154"/>
      <c r="C41" s="154"/>
      <c r="D41" s="154"/>
      <c r="E41" s="154"/>
      <c r="F41" s="154"/>
      <c r="G41" s="7"/>
      <c r="H41" s="7"/>
    </row>
    <row r="42" spans="1:8" ht="12.95" customHeight="1" x14ac:dyDescent="0.25">
      <c r="A42" s="153" t="s">
        <v>27</v>
      </c>
      <c r="B42" s="154"/>
      <c r="C42" s="154"/>
      <c r="D42" s="154"/>
      <c r="E42" s="154"/>
      <c r="F42" s="154"/>
      <c r="G42" s="7"/>
      <c r="H42" s="7"/>
    </row>
    <row r="43" spans="1:8" ht="12.95" customHeight="1" x14ac:dyDescent="0.25">
      <c r="A43" s="153" t="s">
        <v>28</v>
      </c>
      <c r="B43" s="154"/>
      <c r="C43" s="154"/>
      <c r="D43" s="154"/>
      <c r="E43" s="154"/>
      <c r="F43" s="154"/>
      <c r="G43" s="7"/>
      <c r="H43" s="7"/>
    </row>
    <row r="44" spans="1:8" ht="12.95" customHeight="1" x14ac:dyDescent="0.25">
      <c r="A44" s="153" t="s">
        <v>29</v>
      </c>
      <c r="B44" s="154"/>
      <c r="C44" s="154"/>
      <c r="D44" s="154"/>
      <c r="E44" s="154"/>
      <c r="F44" s="154"/>
      <c r="G44" s="7"/>
      <c r="H44" s="7"/>
    </row>
    <row r="45" spans="1:8" ht="12.95" customHeight="1" x14ac:dyDescent="0.25">
      <c r="A45" s="153" t="s">
        <v>30</v>
      </c>
      <c r="B45" s="154"/>
      <c r="C45" s="154"/>
      <c r="D45" s="154"/>
      <c r="E45" s="154"/>
      <c r="F45" s="154"/>
      <c r="G45" s="7"/>
      <c r="H45" s="7"/>
    </row>
    <row r="46" spans="1:8" ht="12.95" customHeight="1" x14ac:dyDescent="0.25">
      <c r="A46" s="153" t="s">
        <v>31</v>
      </c>
      <c r="B46" s="154"/>
      <c r="C46" s="154"/>
      <c r="D46" s="154"/>
      <c r="E46" s="154"/>
      <c r="F46" s="154"/>
      <c r="G46" s="7"/>
      <c r="H46" s="7"/>
    </row>
    <row r="47" spans="1:8" ht="12.95" customHeight="1" x14ac:dyDescent="0.25">
      <c r="A47" s="153" t="s">
        <v>32</v>
      </c>
      <c r="B47" s="154"/>
      <c r="C47" s="154"/>
      <c r="D47" s="154"/>
      <c r="E47" s="154"/>
      <c r="F47" s="154"/>
      <c r="G47" s="7"/>
      <c r="H47" s="7"/>
    </row>
    <row r="48" spans="1:8" ht="12.95" customHeight="1" x14ac:dyDescent="0.25">
      <c r="A48" s="153" t="s">
        <v>33</v>
      </c>
      <c r="B48" s="154"/>
      <c r="C48" s="154"/>
      <c r="D48" s="154"/>
      <c r="E48" s="154"/>
      <c r="F48" s="154"/>
      <c r="G48" s="7"/>
      <c r="H48" s="7"/>
    </row>
    <row r="49" spans="1:8" ht="12.95" customHeight="1" x14ac:dyDescent="0.25">
      <c r="A49" s="163" t="s">
        <v>212</v>
      </c>
      <c r="B49" s="163"/>
      <c r="C49" s="163"/>
      <c r="D49" s="163"/>
      <c r="E49" s="163"/>
      <c r="F49" s="163"/>
      <c r="G49" s="7"/>
      <c r="H49" s="7"/>
    </row>
    <row r="50" spans="1:8" ht="12.95" customHeight="1" x14ac:dyDescent="0.25">
      <c r="A50" s="153" t="s">
        <v>34</v>
      </c>
      <c r="B50" s="154"/>
      <c r="C50" s="154"/>
      <c r="D50" s="154"/>
      <c r="E50" s="154"/>
      <c r="F50" s="154"/>
      <c r="G50" s="7"/>
      <c r="H50" s="7"/>
    </row>
    <row r="51" spans="1:8" ht="12.95" customHeight="1" x14ac:dyDescent="0.25"/>
    <row r="52" spans="1:8" ht="12.95" customHeight="1" x14ac:dyDescent="0.25"/>
    <row r="53" spans="1:8" ht="12.95" customHeight="1" x14ac:dyDescent="0.25"/>
    <row r="54" spans="1:8" ht="12.95" customHeight="1" x14ac:dyDescent="0.25">
      <c r="A54" s="161" t="str">
        <f>B4</f>
        <v>ALBERTO OROZCO VILALVA</v>
      </c>
      <c r="B54" s="161"/>
      <c r="C54" s="161"/>
      <c r="D54" s="161"/>
      <c r="E54" s="161"/>
      <c r="F54" s="161"/>
    </row>
    <row r="55" spans="1:8" ht="3" customHeight="1" x14ac:dyDescent="0.25">
      <c r="A55" s="161" t="s">
        <v>213</v>
      </c>
      <c r="B55" s="161"/>
      <c r="C55" s="161"/>
      <c r="D55" s="161"/>
      <c r="E55" s="161"/>
      <c r="F55" s="161"/>
    </row>
    <row r="56" spans="1:8" ht="12.95" customHeight="1" x14ac:dyDescent="0.25">
      <c r="A56" s="162" t="s">
        <v>35</v>
      </c>
      <c r="B56" s="162"/>
      <c r="C56" s="162"/>
      <c r="D56" s="162"/>
      <c r="E56" s="162"/>
      <c r="F56" s="162"/>
    </row>
  </sheetData>
  <mergeCells count="41">
    <mergeCell ref="A49:F49"/>
    <mergeCell ref="A54:F54"/>
    <mergeCell ref="A43:F43"/>
    <mergeCell ref="A44:F44"/>
    <mergeCell ref="A45:F45"/>
    <mergeCell ref="A46:F46"/>
    <mergeCell ref="A47:F47"/>
    <mergeCell ref="A48:F48"/>
    <mergeCell ref="A50:F50"/>
    <mergeCell ref="D24:F24"/>
    <mergeCell ref="D25:F25"/>
    <mergeCell ref="D26:F26"/>
    <mergeCell ref="D27:F27"/>
    <mergeCell ref="A42:F42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1:F41"/>
    <mergeCell ref="A55:F55"/>
    <mergeCell ref="A56:F56"/>
    <mergeCell ref="F12:F15"/>
    <mergeCell ref="A1:F1"/>
    <mergeCell ref="A2:F2"/>
    <mergeCell ref="B4:D4"/>
    <mergeCell ref="D8:E8"/>
    <mergeCell ref="A10:F10"/>
    <mergeCell ref="A28:F28"/>
    <mergeCell ref="B17:F17"/>
    <mergeCell ref="A18:F18"/>
    <mergeCell ref="D19:F19"/>
    <mergeCell ref="D20:F20"/>
    <mergeCell ref="D21:F21"/>
    <mergeCell ref="D22:F22"/>
    <mergeCell ref="D23:F23"/>
  </mergeCells>
  <printOptions horizontalCentered="1"/>
  <pageMargins left="0" right="0" top="0" bottom="0" header="0.31496062992125984" footer="0.31496062992125984"/>
  <pageSetup paperSize="9" scale="8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USUARIOS!$B$4:$B$56</xm:f>
          </x14:formula1>
          <xm:sqref>B4:D4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A1:H56"/>
  <sheetViews>
    <sheetView workbookViewId="0">
      <selection activeCell="B4" sqref="B4:D4"/>
    </sheetView>
  </sheetViews>
  <sheetFormatPr baseColWidth="10" defaultColWidth="11.42578125" defaultRowHeight="15" x14ac:dyDescent="0.25"/>
  <cols>
    <col min="1" max="1" width="21.7109375" style="1" customWidth="1"/>
    <col min="2" max="2" width="11.5703125" style="1" customWidth="1"/>
    <col min="3" max="3" width="11.42578125" style="1" customWidth="1"/>
    <col min="4" max="4" width="16.28515625" style="1" customWidth="1"/>
    <col min="5" max="5" width="14.5703125" style="1" customWidth="1"/>
    <col min="6" max="6" width="45.140625" style="1" bestFit="1" customWidth="1"/>
    <col min="7" max="16384" width="11.42578125" style="1"/>
  </cols>
  <sheetData>
    <row r="1" spans="1:8" ht="37.5" customHeight="1" x14ac:dyDescent="0.25">
      <c r="A1" s="132"/>
      <c r="B1" s="132"/>
      <c r="C1" s="132"/>
      <c r="D1" s="132"/>
      <c r="E1" s="132"/>
      <c r="F1" s="132"/>
    </row>
    <row r="2" spans="1:8" s="4" customFormat="1" ht="26.25" customHeight="1" thickBot="1" x14ac:dyDescent="0.4">
      <c r="A2" s="133" t="s">
        <v>79</v>
      </c>
      <c r="B2" s="133"/>
      <c r="C2" s="133"/>
      <c r="D2" s="133"/>
      <c r="E2" s="133"/>
      <c r="F2" s="133"/>
    </row>
    <row r="3" spans="1:8" ht="12" customHeight="1" x14ac:dyDescent="0.25">
      <c r="A3" s="28"/>
      <c r="B3" s="29"/>
      <c r="C3" s="29"/>
      <c r="D3" s="29"/>
      <c r="E3" s="29"/>
      <c r="F3" s="30"/>
    </row>
    <row r="4" spans="1:8" s="2" customFormat="1" ht="12" customHeight="1" thickBot="1" x14ac:dyDescent="0.3">
      <c r="A4" s="13" t="s">
        <v>60</v>
      </c>
      <c r="B4" s="118" t="s">
        <v>412</v>
      </c>
      <c r="C4" s="118"/>
      <c r="D4" s="118"/>
      <c r="E4" s="83" t="s">
        <v>258</v>
      </c>
      <c r="F4" s="84"/>
    </row>
    <row r="5" spans="1:8" s="2" customFormat="1" ht="12" customHeight="1" x14ac:dyDescent="0.25">
      <c r="A5" s="12"/>
      <c r="B5" s="34"/>
      <c r="C5" s="34"/>
      <c r="D5" s="34"/>
      <c r="E5" s="34"/>
      <c r="F5" s="35"/>
    </row>
    <row r="6" spans="1:8" s="2" customFormat="1" ht="12" customHeight="1" thickBot="1" x14ac:dyDescent="0.3">
      <c r="A6" s="13" t="s">
        <v>16</v>
      </c>
      <c r="B6" s="31" t="s">
        <v>48</v>
      </c>
      <c r="C6" s="32"/>
      <c r="D6" s="32"/>
      <c r="E6" s="32"/>
      <c r="F6" s="33"/>
    </row>
    <row r="7" spans="1:8" s="5" customFormat="1" ht="12" customHeight="1" x14ac:dyDescent="0.25">
      <c r="A7" s="36"/>
      <c r="B7" s="37"/>
      <c r="C7" s="37"/>
      <c r="D7" s="37"/>
      <c r="E7" s="37"/>
      <c r="F7" s="38"/>
    </row>
    <row r="8" spans="1:8" s="5" customFormat="1" ht="12" customHeight="1" thickBot="1" x14ac:dyDescent="0.3">
      <c r="A8" s="36"/>
      <c r="B8" s="37"/>
      <c r="C8" s="37"/>
      <c r="D8" s="134" t="s">
        <v>61</v>
      </c>
      <c r="E8" s="134"/>
      <c r="F8" s="53">
        <f ca="1">NOW()</f>
        <v>46196.458986458332</v>
      </c>
    </row>
    <row r="9" spans="1:8" s="2" customFormat="1" ht="12" customHeight="1" thickBot="1" x14ac:dyDescent="0.3">
      <c r="A9" s="39"/>
      <c r="B9" s="32"/>
      <c r="C9" s="32"/>
      <c r="D9" s="32"/>
      <c r="E9" s="32"/>
      <c r="F9" s="64">
        <f ca="1">NOW()</f>
        <v>46196.458986458332</v>
      </c>
    </row>
    <row r="10" spans="1:8" s="6" customFormat="1" ht="13.5" thickBot="1" x14ac:dyDescent="0.25">
      <c r="A10" s="135" t="s">
        <v>17</v>
      </c>
      <c r="B10" s="136"/>
      <c r="C10" s="136"/>
      <c r="D10" s="136"/>
      <c r="E10" s="136"/>
      <c r="F10" s="137"/>
    </row>
    <row r="11" spans="1:8" s="14" customFormat="1" ht="13.5" thickBot="1" x14ac:dyDescent="0.25">
      <c r="A11" s="40" t="s">
        <v>11</v>
      </c>
      <c r="B11" s="40" t="s">
        <v>12</v>
      </c>
      <c r="C11" s="40" t="s">
        <v>13</v>
      </c>
      <c r="D11" s="40" t="s">
        <v>37</v>
      </c>
      <c r="E11" s="40" t="s">
        <v>51</v>
      </c>
      <c r="F11" s="40" t="s">
        <v>10</v>
      </c>
    </row>
    <row r="12" spans="1:8" x14ac:dyDescent="0.25">
      <c r="A12" s="11" t="s">
        <v>49</v>
      </c>
      <c r="B12" s="45" t="s">
        <v>50</v>
      </c>
      <c r="C12" s="45" t="s">
        <v>152</v>
      </c>
      <c r="D12" s="45" t="s">
        <v>155</v>
      </c>
      <c r="E12" s="46">
        <v>1</v>
      </c>
      <c r="F12" s="129" t="s">
        <v>105</v>
      </c>
    </row>
    <row r="13" spans="1:8" x14ac:dyDescent="0.25">
      <c r="A13" s="9" t="s">
        <v>52</v>
      </c>
      <c r="B13" s="45" t="s">
        <v>67</v>
      </c>
      <c r="C13" s="45" t="s">
        <v>68</v>
      </c>
      <c r="D13" s="45" t="s">
        <v>156</v>
      </c>
      <c r="E13" s="46">
        <v>1</v>
      </c>
      <c r="F13" s="130"/>
    </row>
    <row r="14" spans="1:8" x14ac:dyDescent="0.25">
      <c r="A14" s="9" t="s">
        <v>54</v>
      </c>
      <c r="B14" s="45" t="s">
        <v>69</v>
      </c>
      <c r="C14" s="45"/>
      <c r="D14" s="67" t="s">
        <v>103</v>
      </c>
      <c r="E14" s="45"/>
      <c r="F14" s="130"/>
      <c r="H14"/>
    </row>
    <row r="15" spans="1:8" x14ac:dyDescent="0.25">
      <c r="A15" s="9" t="s">
        <v>56</v>
      </c>
      <c r="B15" s="45"/>
      <c r="C15" s="45" t="s">
        <v>57</v>
      </c>
      <c r="D15" s="74">
        <v>866645058868410</v>
      </c>
      <c r="E15" s="49">
        <v>1</v>
      </c>
      <c r="F15" s="131"/>
    </row>
    <row r="16" spans="1:8" x14ac:dyDescent="0.25">
      <c r="A16" s="47" t="s">
        <v>59</v>
      </c>
      <c r="B16" s="50"/>
      <c r="C16" s="48"/>
      <c r="D16" s="48"/>
      <c r="E16" s="51"/>
      <c r="F16" s="52"/>
    </row>
    <row r="17" spans="1:6" ht="21.75" thickBot="1" x14ac:dyDescent="0.4">
      <c r="A17" s="10" t="s">
        <v>1</v>
      </c>
      <c r="B17" s="141"/>
      <c r="C17" s="142"/>
      <c r="D17" s="142"/>
      <c r="E17" s="142"/>
      <c r="F17" s="143"/>
    </row>
    <row r="18" spans="1:6" s="14" customFormat="1" ht="13.5" thickBot="1" x14ac:dyDescent="0.25">
      <c r="A18" s="135" t="s">
        <v>18</v>
      </c>
      <c r="B18" s="136"/>
      <c r="C18" s="136"/>
      <c r="D18" s="136"/>
      <c r="E18" s="136"/>
      <c r="F18" s="137"/>
    </row>
    <row r="19" spans="1:6" s="14" customFormat="1" ht="13.5" thickBot="1" x14ac:dyDescent="0.25">
      <c r="A19" s="43" t="s">
        <v>11</v>
      </c>
      <c r="B19" s="43" t="s">
        <v>14</v>
      </c>
      <c r="C19" s="43" t="s">
        <v>15</v>
      </c>
      <c r="D19" s="135" t="s">
        <v>10</v>
      </c>
      <c r="E19" s="136"/>
      <c r="F19" s="137"/>
    </row>
    <row r="20" spans="1:6" x14ac:dyDescent="0.25">
      <c r="A20" s="8" t="s">
        <v>2</v>
      </c>
      <c r="B20" s="44"/>
      <c r="C20" s="44"/>
      <c r="D20" s="144"/>
      <c r="E20" s="145"/>
      <c r="F20" s="146"/>
    </row>
    <row r="21" spans="1:6" x14ac:dyDescent="0.25">
      <c r="A21" s="9" t="s">
        <v>3</v>
      </c>
      <c r="B21" s="41"/>
      <c r="C21" s="41"/>
      <c r="D21" s="147"/>
      <c r="E21" s="148"/>
      <c r="F21" s="149"/>
    </row>
    <row r="22" spans="1:6" x14ac:dyDescent="0.25">
      <c r="A22" s="9" t="s">
        <v>4</v>
      </c>
      <c r="B22" s="41"/>
      <c r="C22" s="41"/>
      <c r="D22" s="147"/>
      <c r="E22" s="148"/>
      <c r="F22" s="149"/>
    </row>
    <row r="23" spans="1:6" x14ac:dyDescent="0.25">
      <c r="A23" s="9" t="s">
        <v>5</v>
      </c>
      <c r="B23" s="41"/>
      <c r="C23" s="41"/>
      <c r="D23" s="147"/>
      <c r="E23" s="148"/>
      <c r="F23" s="149"/>
    </row>
    <row r="24" spans="1:6" x14ac:dyDescent="0.25">
      <c r="A24" s="9" t="s">
        <v>6</v>
      </c>
      <c r="B24" s="41"/>
      <c r="C24" s="41"/>
      <c r="D24" s="147"/>
      <c r="E24" s="148"/>
      <c r="F24" s="149"/>
    </row>
    <row r="25" spans="1:6" x14ac:dyDescent="0.25">
      <c r="A25" s="9" t="s">
        <v>7</v>
      </c>
      <c r="B25" s="41"/>
      <c r="C25" s="41"/>
      <c r="D25" s="147"/>
      <c r="E25" s="148"/>
      <c r="F25" s="149"/>
    </row>
    <row r="26" spans="1:6" x14ac:dyDescent="0.25">
      <c r="A26" s="9" t="s">
        <v>1</v>
      </c>
      <c r="B26" s="41"/>
      <c r="C26" s="41"/>
      <c r="D26" s="147"/>
      <c r="E26" s="148"/>
      <c r="F26" s="149"/>
    </row>
    <row r="27" spans="1:6" ht="15.75" thickBot="1" x14ac:dyDescent="0.3">
      <c r="A27" s="10" t="s">
        <v>1</v>
      </c>
      <c r="B27" s="42"/>
      <c r="C27" s="42"/>
      <c r="D27" s="150"/>
      <c r="E27" s="151"/>
      <c r="F27" s="152"/>
    </row>
    <row r="28" spans="1:6" s="14" customFormat="1" ht="13.5" thickBot="1" x14ac:dyDescent="0.25">
      <c r="A28" s="138" t="s">
        <v>8</v>
      </c>
      <c r="B28" s="139"/>
      <c r="C28" s="139"/>
      <c r="D28" s="139"/>
      <c r="E28" s="139"/>
      <c r="F28" s="140"/>
    </row>
    <row r="29" spans="1:6" s="3" customFormat="1" ht="18.75" x14ac:dyDescent="0.3">
      <c r="A29" s="8" t="s">
        <v>9</v>
      </c>
      <c r="B29" s="44"/>
      <c r="C29" s="155"/>
      <c r="D29" s="155"/>
      <c r="E29" s="144"/>
      <c r="F29" s="156"/>
    </row>
    <row r="30" spans="1:6" x14ac:dyDescent="0.25">
      <c r="A30" s="9" t="s">
        <v>47</v>
      </c>
      <c r="B30" s="41"/>
      <c r="C30" s="157"/>
      <c r="D30" s="157"/>
      <c r="E30" s="147"/>
      <c r="F30" s="158"/>
    </row>
    <row r="31" spans="1:6" x14ac:dyDescent="0.25">
      <c r="B31" s="41"/>
      <c r="C31" s="157"/>
      <c r="D31" s="157"/>
      <c r="E31" s="147"/>
      <c r="F31" s="158"/>
    </row>
    <row r="32" spans="1:6" x14ac:dyDescent="0.25">
      <c r="A32" s="9"/>
      <c r="B32" s="41"/>
      <c r="C32" s="157"/>
      <c r="D32" s="157"/>
      <c r="E32" s="147"/>
      <c r="F32" s="158"/>
    </row>
    <row r="33" spans="1:8" ht="15.75" thickBot="1" x14ac:dyDescent="0.3">
      <c r="A33" s="10"/>
      <c r="B33" s="42"/>
      <c r="C33" s="159"/>
      <c r="D33" s="159"/>
      <c r="E33" s="150"/>
      <c r="F33" s="160"/>
    </row>
    <row r="34" spans="1:8" ht="12.95" customHeight="1" x14ac:dyDescent="0.25">
      <c r="A34" s="54" t="s">
        <v>19</v>
      </c>
      <c r="B34" s="54"/>
      <c r="C34" s="54"/>
      <c r="D34" s="54"/>
      <c r="E34" s="54"/>
      <c r="F34" s="54"/>
      <c r="G34" s="7"/>
      <c r="H34" s="7"/>
    </row>
    <row r="35" spans="1:8" ht="12.95" customHeight="1" x14ac:dyDescent="0.25">
      <c r="A35" s="7" t="s">
        <v>20</v>
      </c>
      <c r="B35"/>
      <c r="C35"/>
      <c r="D35"/>
      <c r="E35"/>
      <c r="F35"/>
      <c r="G35" s="7"/>
      <c r="H35" s="7"/>
    </row>
    <row r="36" spans="1:8" ht="12.95" customHeight="1" x14ac:dyDescent="0.25">
      <c r="A36" s="153" t="s">
        <v>21</v>
      </c>
      <c r="B36" s="154"/>
      <c r="C36" s="154"/>
      <c r="D36" s="154"/>
      <c r="E36" s="154"/>
      <c r="F36" s="154"/>
      <c r="G36" s="7"/>
      <c r="H36" s="7"/>
    </row>
    <row r="37" spans="1:8" ht="12.95" customHeight="1" x14ac:dyDescent="0.25">
      <c r="A37" s="153" t="s">
        <v>22</v>
      </c>
      <c r="B37" s="154"/>
      <c r="C37" s="154"/>
      <c r="D37" s="154"/>
      <c r="E37" s="154"/>
      <c r="F37" s="154"/>
      <c r="G37" s="7"/>
      <c r="H37" s="7"/>
    </row>
    <row r="38" spans="1:8" ht="12.95" customHeight="1" x14ac:dyDescent="0.25">
      <c r="A38" s="153" t="s">
        <v>23</v>
      </c>
      <c r="B38" s="154"/>
      <c r="C38" s="154"/>
      <c r="D38" s="154"/>
      <c r="E38" s="154"/>
      <c r="F38" s="154"/>
      <c r="G38" s="7"/>
      <c r="H38" s="7"/>
    </row>
    <row r="39" spans="1:8" ht="12.95" customHeight="1" x14ac:dyDescent="0.25">
      <c r="A39" s="153" t="s">
        <v>24</v>
      </c>
      <c r="B39" s="154"/>
      <c r="C39" s="154"/>
      <c r="D39" s="154"/>
      <c r="E39" s="154"/>
      <c r="F39" s="154"/>
      <c r="G39" s="7"/>
      <c r="H39" s="7"/>
    </row>
    <row r="40" spans="1:8" ht="12.95" customHeight="1" x14ac:dyDescent="0.25">
      <c r="A40" s="153" t="s">
        <v>25</v>
      </c>
      <c r="B40" s="154"/>
      <c r="C40" s="154"/>
      <c r="D40" s="154"/>
      <c r="E40" s="154"/>
      <c r="F40" s="154"/>
      <c r="G40" s="7"/>
      <c r="H40" s="7"/>
    </row>
    <row r="41" spans="1:8" ht="12.95" customHeight="1" x14ac:dyDescent="0.25">
      <c r="A41" s="153" t="s">
        <v>26</v>
      </c>
      <c r="B41" s="154"/>
      <c r="C41" s="154"/>
      <c r="D41" s="154"/>
      <c r="E41" s="154"/>
      <c r="F41" s="154"/>
      <c r="G41" s="7"/>
      <c r="H41" s="7"/>
    </row>
    <row r="42" spans="1:8" ht="12.95" customHeight="1" x14ac:dyDescent="0.25">
      <c r="A42" s="153" t="s">
        <v>27</v>
      </c>
      <c r="B42" s="154"/>
      <c r="C42" s="154"/>
      <c r="D42" s="154"/>
      <c r="E42" s="154"/>
      <c r="F42" s="154"/>
      <c r="G42" s="7"/>
      <c r="H42" s="7"/>
    </row>
    <row r="43" spans="1:8" ht="12.95" customHeight="1" x14ac:dyDescent="0.25">
      <c r="A43" s="153" t="s">
        <v>28</v>
      </c>
      <c r="B43" s="154"/>
      <c r="C43" s="154"/>
      <c r="D43" s="154"/>
      <c r="E43" s="154"/>
      <c r="F43" s="154"/>
      <c r="G43" s="7"/>
      <c r="H43" s="7"/>
    </row>
    <row r="44" spans="1:8" ht="12.95" customHeight="1" x14ac:dyDescent="0.25">
      <c r="A44" s="153" t="s">
        <v>29</v>
      </c>
      <c r="B44" s="154"/>
      <c r="C44" s="154"/>
      <c r="D44" s="154"/>
      <c r="E44" s="154"/>
      <c r="F44" s="154"/>
      <c r="G44" s="7"/>
      <c r="H44" s="7"/>
    </row>
    <row r="45" spans="1:8" ht="12.95" customHeight="1" x14ac:dyDescent="0.25">
      <c r="A45" s="153" t="s">
        <v>30</v>
      </c>
      <c r="B45" s="154"/>
      <c r="C45" s="154"/>
      <c r="D45" s="154"/>
      <c r="E45" s="154"/>
      <c r="F45" s="154"/>
      <c r="G45" s="7"/>
      <c r="H45" s="7"/>
    </row>
    <row r="46" spans="1:8" ht="12.95" customHeight="1" x14ac:dyDescent="0.25">
      <c r="A46" s="153" t="s">
        <v>31</v>
      </c>
      <c r="B46" s="154"/>
      <c r="C46" s="154"/>
      <c r="D46" s="154"/>
      <c r="E46" s="154"/>
      <c r="F46" s="154"/>
      <c r="G46" s="7"/>
      <c r="H46" s="7"/>
    </row>
    <row r="47" spans="1:8" ht="12.95" customHeight="1" x14ac:dyDescent="0.25">
      <c r="A47" s="153" t="s">
        <v>32</v>
      </c>
      <c r="B47" s="154"/>
      <c r="C47" s="154"/>
      <c r="D47" s="154"/>
      <c r="E47" s="154"/>
      <c r="F47" s="154"/>
      <c r="G47" s="7"/>
      <c r="H47" s="7"/>
    </row>
    <row r="48" spans="1:8" ht="12.95" customHeight="1" x14ac:dyDescent="0.25">
      <c r="A48" s="153" t="s">
        <v>33</v>
      </c>
      <c r="B48" s="154"/>
      <c r="C48" s="154"/>
      <c r="D48" s="154"/>
      <c r="E48" s="154"/>
      <c r="F48" s="154"/>
      <c r="G48" s="7"/>
      <c r="H48" s="7"/>
    </row>
    <row r="49" spans="1:8" ht="12.95" customHeight="1" x14ac:dyDescent="0.25">
      <c r="A49" s="163" t="s">
        <v>212</v>
      </c>
      <c r="B49" s="163"/>
      <c r="C49" s="163"/>
      <c r="D49" s="163"/>
      <c r="E49" s="163"/>
      <c r="F49" s="163"/>
      <c r="G49" s="7"/>
      <c r="H49" s="7"/>
    </row>
    <row r="50" spans="1:8" ht="12.95" customHeight="1" x14ac:dyDescent="0.25">
      <c r="A50" s="153" t="s">
        <v>34</v>
      </c>
      <c r="B50" s="154"/>
      <c r="C50" s="154"/>
      <c r="D50" s="154"/>
      <c r="E50" s="154"/>
      <c r="F50" s="154"/>
      <c r="G50" s="7"/>
      <c r="H50" s="7"/>
    </row>
    <row r="51" spans="1:8" ht="12.95" customHeight="1" x14ac:dyDescent="0.25"/>
    <row r="52" spans="1:8" ht="12.95" customHeight="1" x14ac:dyDescent="0.25"/>
    <row r="53" spans="1:8" ht="12.95" customHeight="1" x14ac:dyDescent="0.25"/>
    <row r="54" spans="1:8" ht="12.95" customHeight="1" x14ac:dyDescent="0.25">
      <c r="A54" s="161" t="str">
        <f>B4</f>
        <v>KARLA GOMEZ PERALTA</v>
      </c>
      <c r="B54" s="161"/>
      <c r="C54" s="161"/>
      <c r="D54" s="161"/>
      <c r="E54" s="161"/>
      <c r="F54" s="161"/>
    </row>
    <row r="55" spans="1:8" ht="3" customHeight="1" x14ac:dyDescent="0.25">
      <c r="A55" s="161" t="s">
        <v>213</v>
      </c>
      <c r="B55" s="161"/>
      <c r="C55" s="161"/>
      <c r="D55" s="161"/>
      <c r="E55" s="161"/>
      <c r="F55" s="161"/>
    </row>
    <row r="56" spans="1:8" ht="12.95" customHeight="1" x14ac:dyDescent="0.25">
      <c r="A56" s="162" t="s">
        <v>35</v>
      </c>
      <c r="B56" s="162"/>
      <c r="C56" s="162"/>
      <c r="D56" s="162"/>
      <c r="E56" s="162"/>
      <c r="F56" s="162"/>
    </row>
  </sheetData>
  <mergeCells count="41">
    <mergeCell ref="A49:F49"/>
    <mergeCell ref="A54:F54"/>
    <mergeCell ref="A43:F43"/>
    <mergeCell ref="A44:F44"/>
    <mergeCell ref="A45:F45"/>
    <mergeCell ref="A46:F46"/>
    <mergeCell ref="A47:F47"/>
    <mergeCell ref="A48:F48"/>
    <mergeCell ref="A50:F50"/>
    <mergeCell ref="D24:F24"/>
    <mergeCell ref="D25:F25"/>
    <mergeCell ref="D26:F26"/>
    <mergeCell ref="D27:F27"/>
    <mergeCell ref="A42:F42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1:F41"/>
    <mergeCell ref="A55:F55"/>
    <mergeCell ref="A56:F56"/>
    <mergeCell ref="F12:F15"/>
    <mergeCell ref="A1:F1"/>
    <mergeCell ref="A2:F2"/>
    <mergeCell ref="B4:D4"/>
    <mergeCell ref="D8:E8"/>
    <mergeCell ref="A10:F10"/>
    <mergeCell ref="A28:F28"/>
    <mergeCell ref="B17:F17"/>
    <mergeCell ref="A18:F18"/>
    <mergeCell ref="D19:F19"/>
    <mergeCell ref="D20:F20"/>
    <mergeCell ref="D21:F21"/>
    <mergeCell ref="D22:F22"/>
    <mergeCell ref="D23:F23"/>
  </mergeCells>
  <printOptions horizontalCentered="1"/>
  <pageMargins left="0" right="0" top="0" bottom="0" header="0.31496062992125984" footer="0.31496062992125984"/>
  <pageSetup paperSize="9" scale="8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USUARIOS!$B$4:$B$56</xm:f>
          </x14:formula1>
          <xm:sqref>B4:D4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H56"/>
  <sheetViews>
    <sheetView workbookViewId="0">
      <selection activeCell="B4" sqref="B4:D4"/>
    </sheetView>
  </sheetViews>
  <sheetFormatPr baseColWidth="10" defaultColWidth="11.42578125" defaultRowHeight="15" x14ac:dyDescent="0.25"/>
  <cols>
    <col min="1" max="1" width="21.7109375" style="1" customWidth="1"/>
    <col min="2" max="2" width="11.5703125" style="1" customWidth="1"/>
    <col min="3" max="3" width="11.42578125" style="1" customWidth="1"/>
    <col min="4" max="5" width="14.5703125" style="1" customWidth="1"/>
    <col min="6" max="6" width="45.140625" style="1" bestFit="1" customWidth="1"/>
    <col min="7" max="16384" width="11.42578125" style="1"/>
  </cols>
  <sheetData>
    <row r="1" spans="1:6" ht="37.5" customHeight="1" x14ac:dyDescent="0.25">
      <c r="A1" s="132" t="s">
        <v>0</v>
      </c>
      <c r="B1" s="132"/>
      <c r="C1" s="132"/>
      <c r="D1" s="132"/>
      <c r="E1" s="132"/>
      <c r="F1" s="132"/>
    </row>
    <row r="2" spans="1:6" s="4" customFormat="1" ht="26.25" customHeight="1" thickBot="1" x14ac:dyDescent="0.4">
      <c r="A2" s="133" t="s">
        <v>73</v>
      </c>
      <c r="B2" s="133"/>
      <c r="C2" s="133"/>
      <c r="D2" s="133"/>
      <c r="E2" s="133"/>
      <c r="F2" s="133"/>
    </row>
    <row r="3" spans="1:6" ht="12" customHeight="1" x14ac:dyDescent="0.25">
      <c r="A3" s="28"/>
      <c r="B3" s="29"/>
      <c r="C3" s="29"/>
      <c r="D3" s="29"/>
      <c r="E3" s="29"/>
      <c r="F3" s="30"/>
    </row>
    <row r="4" spans="1:6" s="2" customFormat="1" ht="12" customHeight="1" thickBot="1" x14ac:dyDescent="0.3">
      <c r="A4" s="13" t="s">
        <v>60</v>
      </c>
      <c r="B4" s="118" t="s">
        <v>415</v>
      </c>
      <c r="C4" s="118"/>
      <c r="D4" s="118"/>
      <c r="E4" s="83" t="s">
        <v>259</v>
      </c>
      <c r="F4" s="84"/>
    </row>
    <row r="5" spans="1:6" s="2" customFormat="1" ht="12" customHeight="1" x14ac:dyDescent="0.25">
      <c r="A5" s="12"/>
      <c r="B5" s="34"/>
      <c r="C5" s="34"/>
      <c r="D5" s="34"/>
      <c r="E5" s="34"/>
      <c r="F5" s="35"/>
    </row>
    <row r="6" spans="1:6" s="2" customFormat="1" ht="12" customHeight="1" thickBot="1" x14ac:dyDescent="0.3">
      <c r="A6" s="13" t="s">
        <v>16</v>
      </c>
      <c r="B6" s="31" t="s">
        <v>48</v>
      </c>
      <c r="C6" s="32"/>
      <c r="D6" s="32"/>
      <c r="E6" s="32"/>
      <c r="F6" s="33"/>
    </row>
    <row r="7" spans="1:6" s="5" customFormat="1" ht="12" customHeight="1" x14ac:dyDescent="0.25">
      <c r="A7" s="36"/>
      <c r="B7" s="37"/>
      <c r="C7" s="37"/>
      <c r="D7" s="37"/>
      <c r="E7" s="37"/>
      <c r="F7" s="38"/>
    </row>
    <row r="8" spans="1:6" s="5" customFormat="1" ht="12" customHeight="1" thickBot="1" x14ac:dyDescent="0.3">
      <c r="A8" s="36"/>
      <c r="B8" s="37"/>
      <c r="C8" s="37"/>
      <c r="D8" s="134" t="s">
        <v>61</v>
      </c>
      <c r="E8" s="134"/>
      <c r="F8" s="53">
        <f ca="1">NOW()</f>
        <v>46196.458986458332</v>
      </c>
    </row>
    <row r="9" spans="1:6" s="2" customFormat="1" ht="12" customHeight="1" thickBot="1" x14ac:dyDescent="0.3">
      <c r="A9" s="39"/>
      <c r="B9" s="32"/>
      <c r="C9" s="32"/>
      <c r="D9" s="32"/>
      <c r="E9" s="32"/>
      <c r="F9" s="64">
        <f ca="1">NOW()</f>
        <v>46196.458986458332</v>
      </c>
    </row>
    <row r="10" spans="1:6" s="6" customFormat="1" ht="13.5" thickBot="1" x14ac:dyDescent="0.25">
      <c r="A10" s="135" t="s">
        <v>17</v>
      </c>
      <c r="B10" s="136"/>
      <c r="C10" s="136"/>
      <c r="D10" s="136"/>
      <c r="E10" s="136"/>
      <c r="F10" s="137"/>
    </row>
    <row r="11" spans="1:6" s="14" customFormat="1" ht="13.5" thickBot="1" x14ac:dyDescent="0.25">
      <c r="A11" s="40" t="s">
        <v>11</v>
      </c>
      <c r="B11" s="40" t="s">
        <v>12</v>
      </c>
      <c r="C11" s="40" t="s">
        <v>13</v>
      </c>
      <c r="D11" s="40" t="s">
        <v>37</v>
      </c>
      <c r="E11" s="40" t="s">
        <v>51</v>
      </c>
      <c r="F11" s="40" t="s">
        <v>10</v>
      </c>
    </row>
    <row r="12" spans="1:6" x14ac:dyDescent="0.25">
      <c r="A12" s="11" t="s">
        <v>49</v>
      </c>
      <c r="B12" s="45" t="s">
        <v>135</v>
      </c>
      <c r="C12" s="45" t="s">
        <v>65</v>
      </c>
      <c r="D12" s="45" t="s">
        <v>109</v>
      </c>
      <c r="E12" s="46">
        <v>1</v>
      </c>
      <c r="F12" s="129" t="s">
        <v>71</v>
      </c>
    </row>
    <row r="13" spans="1:6" x14ac:dyDescent="0.25">
      <c r="A13" s="9" t="s">
        <v>52</v>
      </c>
      <c r="B13" s="45" t="s">
        <v>67</v>
      </c>
      <c r="C13" s="45" t="s">
        <v>68</v>
      </c>
      <c r="D13" s="45" t="s">
        <v>108</v>
      </c>
      <c r="E13" s="46">
        <v>1</v>
      </c>
      <c r="F13" s="130"/>
    </row>
    <row r="14" spans="1:6" x14ac:dyDescent="0.25">
      <c r="A14" s="9" t="s">
        <v>54</v>
      </c>
      <c r="B14" s="45" t="s">
        <v>69</v>
      </c>
      <c r="C14" s="45" t="s">
        <v>107</v>
      </c>
      <c r="D14" s="68" t="s">
        <v>106</v>
      </c>
      <c r="E14" s="45"/>
      <c r="F14" s="130"/>
    </row>
    <row r="15" spans="1:6" x14ac:dyDescent="0.25">
      <c r="A15" s="9" t="s">
        <v>56</v>
      </c>
      <c r="B15" s="45" t="s">
        <v>104</v>
      </c>
      <c r="C15" s="45"/>
      <c r="D15" s="1" t="s">
        <v>134</v>
      </c>
      <c r="E15" s="49"/>
      <c r="F15" s="131"/>
    </row>
    <row r="16" spans="1:6" x14ac:dyDescent="0.25">
      <c r="A16" s="47" t="s">
        <v>59</v>
      </c>
      <c r="B16" s="50"/>
      <c r="C16" s="48"/>
      <c r="D16" s="48"/>
      <c r="E16" s="51"/>
      <c r="F16" s="52"/>
    </row>
    <row r="17" spans="1:6" ht="21.75" thickBot="1" x14ac:dyDescent="0.4">
      <c r="A17" s="10" t="s">
        <v>1</v>
      </c>
      <c r="B17" s="141"/>
      <c r="C17" s="142"/>
      <c r="D17" s="142"/>
      <c r="E17" s="142"/>
      <c r="F17" s="143"/>
    </row>
    <row r="18" spans="1:6" s="14" customFormat="1" ht="13.5" thickBot="1" x14ac:dyDescent="0.25">
      <c r="A18" s="135" t="s">
        <v>18</v>
      </c>
      <c r="B18" s="136"/>
      <c r="C18" s="136"/>
      <c r="D18" s="136"/>
      <c r="E18" s="136"/>
      <c r="F18" s="137"/>
    </row>
    <row r="19" spans="1:6" s="14" customFormat="1" ht="13.5" thickBot="1" x14ac:dyDescent="0.25">
      <c r="A19" s="43" t="s">
        <v>11</v>
      </c>
      <c r="B19" s="43" t="s">
        <v>14</v>
      </c>
      <c r="C19" s="43" t="s">
        <v>15</v>
      </c>
      <c r="D19" s="135" t="s">
        <v>10</v>
      </c>
      <c r="E19" s="136"/>
      <c r="F19" s="137"/>
    </row>
    <row r="20" spans="1:6" x14ac:dyDescent="0.25">
      <c r="A20" s="8" t="s">
        <v>2</v>
      </c>
      <c r="B20" s="44"/>
      <c r="C20" s="44"/>
      <c r="D20" s="144"/>
      <c r="E20" s="145"/>
      <c r="F20" s="146"/>
    </row>
    <row r="21" spans="1:6" x14ac:dyDescent="0.25">
      <c r="A21" s="9" t="s">
        <v>3</v>
      </c>
      <c r="B21" s="41"/>
      <c r="C21" s="41"/>
      <c r="D21" s="147"/>
      <c r="E21" s="148"/>
      <c r="F21" s="149"/>
    </row>
    <row r="22" spans="1:6" x14ac:dyDescent="0.25">
      <c r="A22" s="9" t="s">
        <v>4</v>
      </c>
      <c r="B22" s="41"/>
      <c r="C22" s="41"/>
      <c r="D22" s="147"/>
      <c r="E22" s="148"/>
      <c r="F22" s="149"/>
    </row>
    <row r="23" spans="1:6" x14ac:dyDescent="0.25">
      <c r="A23" s="9" t="s">
        <v>5</v>
      </c>
      <c r="B23" s="41"/>
      <c r="C23" s="41"/>
      <c r="D23" s="147"/>
      <c r="E23" s="148"/>
      <c r="F23" s="149"/>
    </row>
    <row r="24" spans="1:6" x14ac:dyDescent="0.25">
      <c r="A24" s="9" t="s">
        <v>6</v>
      </c>
      <c r="B24" s="41"/>
      <c r="C24" s="41"/>
      <c r="D24" s="147"/>
      <c r="E24" s="148"/>
      <c r="F24" s="149"/>
    </row>
    <row r="25" spans="1:6" x14ac:dyDescent="0.25">
      <c r="A25" s="9" t="s">
        <v>7</v>
      </c>
      <c r="B25" s="41"/>
      <c r="C25" s="41"/>
      <c r="D25" s="147"/>
      <c r="E25" s="148"/>
      <c r="F25" s="149"/>
    </row>
    <row r="26" spans="1:6" x14ac:dyDescent="0.25">
      <c r="A26" s="9" t="s">
        <v>1</v>
      </c>
      <c r="B26" s="41"/>
      <c r="C26" s="41"/>
      <c r="D26" s="147"/>
      <c r="E26" s="148"/>
      <c r="F26" s="149"/>
    </row>
    <row r="27" spans="1:6" ht="15.75" thickBot="1" x14ac:dyDescent="0.3">
      <c r="A27" s="10" t="s">
        <v>1</v>
      </c>
      <c r="B27" s="42"/>
      <c r="C27" s="42"/>
      <c r="D27" s="150"/>
      <c r="E27" s="151"/>
      <c r="F27" s="152"/>
    </row>
    <row r="28" spans="1:6" s="14" customFormat="1" ht="13.5" thickBot="1" x14ac:dyDescent="0.25">
      <c r="A28" s="138" t="s">
        <v>8</v>
      </c>
      <c r="B28" s="139"/>
      <c r="C28" s="139"/>
      <c r="D28" s="139"/>
      <c r="E28" s="139"/>
      <c r="F28" s="140"/>
    </row>
    <row r="29" spans="1:6" s="3" customFormat="1" ht="18.75" x14ac:dyDescent="0.3">
      <c r="A29" s="8" t="s">
        <v>9</v>
      </c>
      <c r="B29" s="44"/>
      <c r="C29" s="155"/>
      <c r="D29" s="155"/>
      <c r="E29" s="144"/>
      <c r="F29" s="156"/>
    </row>
    <row r="30" spans="1:6" x14ac:dyDescent="0.25">
      <c r="A30" s="9" t="s">
        <v>47</v>
      </c>
      <c r="B30" s="41"/>
      <c r="C30" s="157"/>
      <c r="D30" s="157"/>
      <c r="E30" s="147"/>
      <c r="F30" s="158"/>
    </row>
    <row r="31" spans="1:6" x14ac:dyDescent="0.25">
      <c r="B31" s="41"/>
      <c r="C31" s="157"/>
      <c r="D31" s="157"/>
      <c r="E31" s="147"/>
      <c r="F31" s="158"/>
    </row>
    <row r="32" spans="1:6" x14ac:dyDescent="0.25">
      <c r="A32" s="9"/>
      <c r="B32" s="41"/>
      <c r="C32" s="157"/>
      <c r="D32" s="157"/>
      <c r="E32" s="147"/>
      <c r="F32" s="158"/>
    </row>
    <row r="33" spans="1:8" ht="15.75" thickBot="1" x14ac:dyDescent="0.3">
      <c r="A33" s="10"/>
      <c r="B33" s="42"/>
      <c r="C33" s="159"/>
      <c r="D33" s="159"/>
      <c r="E33" s="150"/>
      <c r="F33" s="160"/>
    </row>
    <row r="34" spans="1:8" ht="12.95" customHeight="1" x14ac:dyDescent="0.25">
      <c r="A34" s="54" t="s">
        <v>19</v>
      </c>
      <c r="B34" s="54"/>
      <c r="C34" s="54"/>
      <c r="D34" s="54"/>
      <c r="E34" s="54"/>
      <c r="F34" s="54"/>
      <c r="G34" s="7"/>
      <c r="H34" s="7"/>
    </row>
    <row r="35" spans="1:8" ht="12.95" customHeight="1" x14ac:dyDescent="0.25">
      <c r="A35" s="7" t="s">
        <v>20</v>
      </c>
      <c r="B35"/>
      <c r="C35"/>
      <c r="D35"/>
      <c r="E35"/>
      <c r="F35"/>
      <c r="G35" s="7"/>
      <c r="H35" s="7"/>
    </row>
    <row r="36" spans="1:8" ht="12.95" customHeight="1" x14ac:dyDescent="0.25">
      <c r="A36" s="153" t="s">
        <v>21</v>
      </c>
      <c r="B36" s="154"/>
      <c r="C36" s="154"/>
      <c r="D36" s="154"/>
      <c r="E36" s="154"/>
      <c r="F36" s="154"/>
      <c r="G36" s="7"/>
      <c r="H36" s="7"/>
    </row>
    <row r="37" spans="1:8" ht="12.95" customHeight="1" x14ac:dyDescent="0.25">
      <c r="A37" s="153" t="s">
        <v>22</v>
      </c>
      <c r="B37" s="154"/>
      <c r="C37" s="154"/>
      <c r="D37" s="154"/>
      <c r="E37" s="154"/>
      <c r="F37" s="154"/>
      <c r="G37" s="7"/>
      <c r="H37" s="7"/>
    </row>
    <row r="38" spans="1:8" ht="12.95" customHeight="1" x14ac:dyDescent="0.25">
      <c r="A38" s="153" t="s">
        <v>23</v>
      </c>
      <c r="B38" s="154"/>
      <c r="C38" s="154"/>
      <c r="D38" s="154"/>
      <c r="E38" s="154"/>
      <c r="F38" s="154"/>
      <c r="G38" s="7"/>
      <c r="H38" s="7"/>
    </row>
    <row r="39" spans="1:8" ht="12.95" customHeight="1" x14ac:dyDescent="0.25">
      <c r="A39" s="153" t="s">
        <v>24</v>
      </c>
      <c r="B39" s="154"/>
      <c r="C39" s="154"/>
      <c r="D39" s="154"/>
      <c r="E39" s="154"/>
      <c r="F39" s="154"/>
      <c r="G39" s="7"/>
      <c r="H39" s="7"/>
    </row>
    <row r="40" spans="1:8" ht="12.95" customHeight="1" x14ac:dyDescent="0.25">
      <c r="A40" s="153" t="s">
        <v>25</v>
      </c>
      <c r="B40" s="154"/>
      <c r="C40" s="154"/>
      <c r="D40" s="154"/>
      <c r="E40" s="154"/>
      <c r="F40" s="154"/>
      <c r="G40" s="7"/>
      <c r="H40" s="7"/>
    </row>
    <row r="41" spans="1:8" ht="12.95" customHeight="1" x14ac:dyDescent="0.25">
      <c r="A41" s="153" t="s">
        <v>26</v>
      </c>
      <c r="B41" s="154"/>
      <c r="C41" s="154"/>
      <c r="D41" s="154"/>
      <c r="E41" s="154"/>
      <c r="F41" s="154"/>
      <c r="G41" s="7"/>
      <c r="H41" s="7"/>
    </row>
    <row r="42" spans="1:8" ht="12.95" customHeight="1" x14ac:dyDescent="0.25">
      <c r="A42" s="153" t="s">
        <v>27</v>
      </c>
      <c r="B42" s="154"/>
      <c r="C42" s="154"/>
      <c r="D42" s="154"/>
      <c r="E42" s="154"/>
      <c r="F42" s="154"/>
      <c r="G42" s="7"/>
      <c r="H42" s="7"/>
    </row>
    <row r="43" spans="1:8" ht="12.95" customHeight="1" x14ac:dyDescent="0.25">
      <c r="A43" s="153" t="s">
        <v>28</v>
      </c>
      <c r="B43" s="154"/>
      <c r="C43" s="154"/>
      <c r="D43" s="154"/>
      <c r="E43" s="154"/>
      <c r="F43" s="154"/>
      <c r="G43" s="7"/>
      <c r="H43" s="7"/>
    </row>
    <row r="44" spans="1:8" ht="12.95" customHeight="1" x14ac:dyDescent="0.25">
      <c r="A44" s="153" t="s">
        <v>29</v>
      </c>
      <c r="B44" s="154"/>
      <c r="C44" s="154"/>
      <c r="D44" s="154"/>
      <c r="E44" s="154"/>
      <c r="F44" s="154"/>
      <c r="G44" s="7"/>
      <c r="H44" s="7"/>
    </row>
    <row r="45" spans="1:8" ht="12.95" customHeight="1" x14ac:dyDescent="0.25">
      <c r="A45" s="153" t="s">
        <v>30</v>
      </c>
      <c r="B45" s="154"/>
      <c r="C45" s="154"/>
      <c r="D45" s="154"/>
      <c r="E45" s="154"/>
      <c r="F45" s="154"/>
      <c r="G45" s="7"/>
      <c r="H45" s="7"/>
    </row>
    <row r="46" spans="1:8" ht="12.95" customHeight="1" x14ac:dyDescent="0.25">
      <c r="A46" s="153" t="s">
        <v>31</v>
      </c>
      <c r="B46" s="154"/>
      <c r="C46" s="154"/>
      <c r="D46" s="154"/>
      <c r="E46" s="154"/>
      <c r="F46" s="154"/>
      <c r="G46" s="7"/>
      <c r="H46" s="7"/>
    </row>
    <row r="47" spans="1:8" ht="12.95" customHeight="1" x14ac:dyDescent="0.25">
      <c r="A47" s="153" t="s">
        <v>32</v>
      </c>
      <c r="B47" s="154"/>
      <c r="C47" s="154"/>
      <c r="D47" s="154"/>
      <c r="E47" s="154"/>
      <c r="F47" s="154"/>
      <c r="G47" s="7"/>
      <c r="H47" s="7"/>
    </row>
    <row r="48" spans="1:8" ht="12.95" customHeight="1" x14ac:dyDescent="0.25">
      <c r="A48" s="153" t="s">
        <v>33</v>
      </c>
      <c r="B48" s="154"/>
      <c r="C48" s="154"/>
      <c r="D48" s="154"/>
      <c r="E48" s="154"/>
      <c r="F48" s="154"/>
      <c r="G48" s="7"/>
      <c r="H48" s="7"/>
    </row>
    <row r="49" spans="1:8" ht="12.95" customHeight="1" x14ac:dyDescent="0.25">
      <c r="A49" s="163" t="s">
        <v>212</v>
      </c>
      <c r="B49" s="163"/>
      <c r="C49" s="163"/>
      <c r="D49" s="163"/>
      <c r="E49" s="163"/>
      <c r="F49" s="163"/>
      <c r="G49" s="7"/>
      <c r="H49" s="7"/>
    </row>
    <row r="50" spans="1:8" ht="12.95" customHeight="1" x14ac:dyDescent="0.25">
      <c r="A50" s="153" t="s">
        <v>34</v>
      </c>
      <c r="B50" s="154"/>
      <c r="C50" s="154"/>
      <c r="D50" s="154"/>
      <c r="E50" s="154"/>
      <c r="F50" s="154"/>
      <c r="G50" s="7"/>
      <c r="H50" s="7"/>
    </row>
    <row r="51" spans="1:8" ht="12.95" customHeight="1" x14ac:dyDescent="0.25"/>
    <row r="52" spans="1:8" ht="12.95" customHeight="1" x14ac:dyDescent="0.25"/>
    <row r="53" spans="1:8" ht="12.95" customHeight="1" x14ac:dyDescent="0.25"/>
    <row r="54" spans="1:8" ht="12.95" customHeight="1" x14ac:dyDescent="0.25">
      <c r="A54" s="161" t="str">
        <f>B4</f>
        <v>DANIEL EMILIANO ROJAS MORALES</v>
      </c>
      <c r="B54" s="161"/>
      <c r="C54" s="161"/>
      <c r="D54" s="161"/>
      <c r="E54" s="161"/>
      <c r="F54" s="161"/>
    </row>
    <row r="55" spans="1:8" ht="3" customHeight="1" x14ac:dyDescent="0.25">
      <c r="A55" s="161" t="s">
        <v>213</v>
      </c>
      <c r="B55" s="161"/>
      <c r="C55" s="161"/>
      <c r="D55" s="161"/>
      <c r="E55" s="161"/>
      <c r="F55" s="161"/>
    </row>
    <row r="56" spans="1:8" ht="12.95" customHeight="1" x14ac:dyDescent="0.25">
      <c r="A56" s="162" t="s">
        <v>35</v>
      </c>
      <c r="B56" s="162"/>
      <c r="C56" s="162"/>
      <c r="D56" s="162"/>
      <c r="E56" s="162"/>
      <c r="F56" s="162"/>
    </row>
  </sheetData>
  <mergeCells count="41">
    <mergeCell ref="A49:F49"/>
    <mergeCell ref="A54:F54"/>
    <mergeCell ref="A43:F43"/>
    <mergeCell ref="A44:F44"/>
    <mergeCell ref="A45:F45"/>
    <mergeCell ref="A46:F46"/>
    <mergeCell ref="A47:F47"/>
    <mergeCell ref="A48:F48"/>
    <mergeCell ref="A50:F50"/>
    <mergeCell ref="D24:F24"/>
    <mergeCell ref="D25:F25"/>
    <mergeCell ref="D26:F26"/>
    <mergeCell ref="D27:F27"/>
    <mergeCell ref="A42:F42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1:F41"/>
    <mergeCell ref="A55:F55"/>
    <mergeCell ref="A56:F56"/>
    <mergeCell ref="F12:F15"/>
    <mergeCell ref="A1:F1"/>
    <mergeCell ref="A2:F2"/>
    <mergeCell ref="B4:D4"/>
    <mergeCell ref="D8:E8"/>
    <mergeCell ref="A10:F10"/>
    <mergeCell ref="A28:F28"/>
    <mergeCell ref="B17:F17"/>
    <mergeCell ref="A18:F18"/>
    <mergeCell ref="D19:F19"/>
    <mergeCell ref="D20:F20"/>
    <mergeCell ref="D21:F21"/>
    <mergeCell ref="D22:F22"/>
    <mergeCell ref="D23:F23"/>
  </mergeCells>
  <printOptions horizontalCentered="1"/>
  <pageMargins left="0" right="0" top="0" bottom="0" header="0.31496062992125984" footer="0.31496062992125984"/>
  <pageSetup paperSize="9" scale="8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USUARIOS!$B$4:$B$56</xm:f>
          </x14:formula1>
          <xm:sqref>B4:D4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1:F56"/>
  <sheetViews>
    <sheetView workbookViewId="0">
      <selection activeCell="L15" sqref="L15"/>
    </sheetView>
  </sheetViews>
  <sheetFormatPr baseColWidth="10" defaultColWidth="11.42578125" defaultRowHeight="15" x14ac:dyDescent="0.25"/>
  <cols>
    <col min="1" max="1" width="21.7109375" style="1" customWidth="1"/>
    <col min="2" max="2" width="11.5703125" style="1" customWidth="1"/>
    <col min="3" max="3" width="11.42578125" style="1" customWidth="1"/>
    <col min="4" max="5" width="14.5703125" style="1" customWidth="1"/>
    <col min="6" max="6" width="45.140625" style="1" bestFit="1" customWidth="1"/>
    <col min="7" max="16384" width="11.42578125" style="1"/>
  </cols>
  <sheetData>
    <row r="1" spans="1:6" ht="37.5" customHeight="1" x14ac:dyDescent="0.25">
      <c r="A1" s="132" t="s">
        <v>0</v>
      </c>
      <c r="B1" s="132"/>
      <c r="C1" s="132"/>
      <c r="D1" s="132"/>
      <c r="E1" s="132"/>
      <c r="F1" s="132"/>
    </row>
    <row r="2" spans="1:6" s="4" customFormat="1" ht="26.25" customHeight="1" thickBot="1" x14ac:dyDescent="0.4">
      <c r="A2" s="133" t="s">
        <v>80</v>
      </c>
      <c r="B2" s="133"/>
      <c r="C2" s="133"/>
      <c r="D2" s="133"/>
      <c r="E2" s="133"/>
      <c r="F2" s="133"/>
    </row>
    <row r="3" spans="1:6" ht="12" customHeight="1" x14ac:dyDescent="0.25">
      <c r="A3" s="28"/>
      <c r="B3" s="29"/>
      <c r="C3" s="29"/>
      <c r="D3" s="29"/>
      <c r="E3" s="29"/>
      <c r="F3" s="30"/>
    </row>
    <row r="4" spans="1:6" s="2" customFormat="1" ht="12" customHeight="1" thickBot="1" x14ac:dyDescent="0.3">
      <c r="A4" s="13" t="s">
        <v>60</v>
      </c>
      <c r="B4" s="118" t="s">
        <v>357</v>
      </c>
      <c r="C4" s="118"/>
      <c r="D4" s="118"/>
      <c r="E4" s="83" t="s">
        <v>260</v>
      </c>
      <c r="F4" s="84" t="s">
        <v>263</v>
      </c>
    </row>
    <row r="5" spans="1:6" s="2" customFormat="1" ht="12" customHeight="1" x14ac:dyDescent="0.25">
      <c r="A5" s="12"/>
      <c r="B5" s="34"/>
      <c r="C5" s="34"/>
      <c r="D5" s="34"/>
      <c r="E5" s="34"/>
      <c r="F5" s="35"/>
    </row>
    <row r="6" spans="1:6" s="2" customFormat="1" ht="12" customHeight="1" thickBot="1" x14ac:dyDescent="0.3">
      <c r="A6" s="13" t="s">
        <v>16</v>
      </c>
      <c r="B6" s="31" t="s">
        <v>48</v>
      </c>
      <c r="C6" s="32"/>
      <c r="D6" s="32"/>
      <c r="E6" s="32"/>
      <c r="F6" s="33"/>
    </row>
    <row r="7" spans="1:6" s="5" customFormat="1" ht="12" customHeight="1" x14ac:dyDescent="0.25">
      <c r="A7" s="36"/>
      <c r="B7" s="37"/>
      <c r="C7" s="37"/>
      <c r="D7" s="37"/>
      <c r="E7" s="37"/>
      <c r="F7" s="38"/>
    </row>
    <row r="8" spans="1:6" s="5" customFormat="1" ht="12" customHeight="1" thickBot="1" x14ac:dyDescent="0.3">
      <c r="A8" s="36"/>
      <c r="B8" s="37"/>
      <c r="C8" s="37"/>
      <c r="D8" s="134" t="s">
        <v>61</v>
      </c>
      <c r="E8" s="134"/>
      <c r="F8" s="53">
        <f ca="1">NOW()</f>
        <v>46196.458986458332</v>
      </c>
    </row>
    <row r="9" spans="1:6" s="2" customFormat="1" ht="12" customHeight="1" thickBot="1" x14ac:dyDescent="0.3">
      <c r="A9" s="39"/>
      <c r="B9" s="32"/>
      <c r="C9" s="32"/>
      <c r="D9" s="32"/>
      <c r="E9" s="32"/>
      <c r="F9" s="64">
        <f ca="1">NOW()</f>
        <v>46196.458986458332</v>
      </c>
    </row>
    <row r="10" spans="1:6" s="6" customFormat="1" ht="13.5" thickBot="1" x14ac:dyDescent="0.25">
      <c r="A10" s="135" t="s">
        <v>17</v>
      </c>
      <c r="B10" s="136"/>
      <c r="C10" s="136"/>
      <c r="D10" s="136"/>
      <c r="E10" s="136"/>
      <c r="F10" s="137"/>
    </row>
    <row r="11" spans="1:6" s="14" customFormat="1" ht="13.5" thickBot="1" x14ac:dyDescent="0.25">
      <c r="A11" s="40" t="s">
        <v>11</v>
      </c>
      <c r="B11" s="40" t="s">
        <v>12</v>
      </c>
      <c r="C11" s="40" t="s">
        <v>13</v>
      </c>
      <c r="D11" s="40" t="s">
        <v>37</v>
      </c>
      <c r="E11" s="40" t="s">
        <v>51</v>
      </c>
      <c r="F11" s="40" t="s">
        <v>10</v>
      </c>
    </row>
    <row r="12" spans="1:6" x14ac:dyDescent="0.25">
      <c r="A12" s="11" t="s">
        <v>49</v>
      </c>
      <c r="B12" s="45" t="s">
        <v>50</v>
      </c>
      <c r="C12" s="45" t="s">
        <v>152</v>
      </c>
      <c r="D12" s="45" t="s">
        <v>113</v>
      </c>
      <c r="E12" s="46">
        <v>1</v>
      </c>
      <c r="F12" s="129" t="s">
        <v>71</v>
      </c>
    </row>
    <row r="13" spans="1:6" x14ac:dyDescent="0.25">
      <c r="A13" s="9" t="s">
        <v>52</v>
      </c>
      <c r="B13" s="45" t="s">
        <v>67</v>
      </c>
      <c r="C13" s="45" t="s">
        <v>68</v>
      </c>
      <c r="D13" s="45" t="s">
        <v>110</v>
      </c>
      <c r="E13" s="46">
        <v>1</v>
      </c>
      <c r="F13" s="130"/>
    </row>
    <row r="14" spans="1:6" x14ac:dyDescent="0.25">
      <c r="A14" s="9" t="s">
        <v>54</v>
      </c>
      <c r="B14" s="45" t="s">
        <v>69</v>
      </c>
      <c r="C14" s="45" t="s">
        <v>157</v>
      </c>
      <c r="D14" s="67" t="s">
        <v>111</v>
      </c>
      <c r="E14" s="45"/>
      <c r="F14" s="130"/>
    </row>
    <row r="15" spans="1:6" x14ac:dyDescent="0.25">
      <c r="A15" s="9" t="s">
        <v>56</v>
      </c>
      <c r="B15" s="45" t="s">
        <v>112</v>
      </c>
      <c r="C15" s="45"/>
      <c r="D15" s="75">
        <v>866645058867289</v>
      </c>
      <c r="E15" s="49"/>
      <c r="F15" s="131"/>
    </row>
    <row r="16" spans="1:6" x14ac:dyDescent="0.25">
      <c r="A16" s="47" t="s">
        <v>59</v>
      </c>
      <c r="B16" s="50"/>
      <c r="C16" s="48"/>
      <c r="D16" s="48"/>
      <c r="E16" s="51"/>
      <c r="F16" s="52"/>
    </row>
    <row r="17" spans="1:6" ht="21.75" thickBot="1" x14ac:dyDescent="0.4">
      <c r="A17" s="10" t="s">
        <v>1</v>
      </c>
      <c r="B17" s="141"/>
      <c r="C17" s="142"/>
      <c r="D17" s="142"/>
      <c r="E17" s="142"/>
      <c r="F17" s="143"/>
    </row>
    <row r="18" spans="1:6" s="14" customFormat="1" ht="13.5" thickBot="1" x14ac:dyDescent="0.25">
      <c r="A18" s="135" t="s">
        <v>18</v>
      </c>
      <c r="B18" s="136"/>
      <c r="C18" s="136"/>
      <c r="D18" s="136"/>
      <c r="E18" s="136"/>
      <c r="F18" s="137"/>
    </row>
    <row r="19" spans="1:6" s="14" customFormat="1" ht="13.5" thickBot="1" x14ac:dyDescent="0.25">
      <c r="A19" s="43" t="s">
        <v>11</v>
      </c>
      <c r="B19" s="43" t="s">
        <v>14</v>
      </c>
      <c r="C19" s="43" t="s">
        <v>15</v>
      </c>
      <c r="D19" s="135" t="s">
        <v>10</v>
      </c>
      <c r="E19" s="136"/>
      <c r="F19" s="137"/>
    </row>
    <row r="20" spans="1:6" x14ac:dyDescent="0.25">
      <c r="A20" s="8" t="s">
        <v>2</v>
      </c>
      <c r="B20" s="44"/>
      <c r="C20" s="44"/>
      <c r="D20" s="144"/>
      <c r="E20" s="145"/>
      <c r="F20" s="146"/>
    </row>
    <row r="21" spans="1:6" x14ac:dyDescent="0.25">
      <c r="A21" s="9" t="s">
        <v>3</v>
      </c>
      <c r="B21" s="41"/>
      <c r="C21" s="41"/>
      <c r="D21" s="147"/>
      <c r="E21" s="148"/>
      <c r="F21" s="149"/>
    </row>
    <row r="22" spans="1:6" x14ac:dyDescent="0.25">
      <c r="A22" s="9" t="s">
        <v>4</v>
      </c>
      <c r="B22" s="41"/>
      <c r="C22" s="41"/>
      <c r="D22" s="147"/>
      <c r="E22" s="148"/>
      <c r="F22" s="149"/>
    </row>
    <row r="23" spans="1:6" x14ac:dyDescent="0.25">
      <c r="A23" s="9" t="s">
        <v>5</v>
      </c>
      <c r="B23" s="41"/>
      <c r="C23" s="41"/>
      <c r="D23" s="147"/>
      <c r="E23" s="148"/>
      <c r="F23" s="149"/>
    </row>
    <row r="24" spans="1:6" x14ac:dyDescent="0.25">
      <c r="A24" s="9" t="s">
        <v>6</v>
      </c>
      <c r="B24" s="41"/>
      <c r="C24" s="41"/>
      <c r="D24" s="147"/>
      <c r="E24" s="148"/>
      <c r="F24" s="149"/>
    </row>
    <row r="25" spans="1:6" x14ac:dyDescent="0.25">
      <c r="A25" s="9" t="s">
        <v>7</v>
      </c>
      <c r="B25" s="41"/>
      <c r="C25" s="41"/>
      <c r="D25" s="147"/>
      <c r="E25" s="148"/>
      <c r="F25" s="149"/>
    </row>
    <row r="26" spans="1:6" x14ac:dyDescent="0.25">
      <c r="A26" s="9" t="s">
        <v>1</v>
      </c>
      <c r="B26" s="41"/>
      <c r="C26" s="41"/>
      <c r="D26" s="147"/>
      <c r="E26" s="148"/>
      <c r="F26" s="149"/>
    </row>
    <row r="27" spans="1:6" ht="15.75" thickBot="1" x14ac:dyDescent="0.3">
      <c r="A27" s="10" t="s">
        <v>1</v>
      </c>
      <c r="B27" s="42"/>
      <c r="C27" s="42"/>
      <c r="D27" s="150"/>
      <c r="E27" s="151"/>
      <c r="F27" s="152"/>
    </row>
    <row r="28" spans="1:6" s="14" customFormat="1" ht="13.5" thickBot="1" x14ac:dyDescent="0.25">
      <c r="A28" s="138" t="s">
        <v>8</v>
      </c>
      <c r="B28" s="139"/>
      <c r="C28" s="139"/>
      <c r="D28" s="139"/>
      <c r="E28" s="139"/>
      <c r="F28" s="140"/>
    </row>
    <row r="29" spans="1:6" s="3" customFormat="1" ht="18.75" x14ac:dyDescent="0.3">
      <c r="A29" s="8" t="s">
        <v>9</v>
      </c>
      <c r="B29" s="44"/>
      <c r="C29" s="155"/>
      <c r="D29" s="155"/>
      <c r="E29" s="144"/>
      <c r="F29" s="156"/>
    </row>
    <row r="30" spans="1:6" x14ac:dyDescent="0.25">
      <c r="A30" s="9" t="s">
        <v>47</v>
      </c>
      <c r="B30" s="41"/>
      <c r="C30" s="157"/>
      <c r="D30" s="157"/>
      <c r="E30" s="147"/>
      <c r="F30" s="158"/>
    </row>
    <row r="31" spans="1:6" x14ac:dyDescent="0.25">
      <c r="B31" s="41"/>
      <c r="C31" s="157"/>
      <c r="D31" s="157"/>
      <c r="E31" s="147"/>
      <c r="F31" s="158"/>
    </row>
    <row r="32" spans="1:6" x14ac:dyDescent="0.25">
      <c r="A32" s="9"/>
      <c r="B32" s="41"/>
      <c r="C32" s="157"/>
      <c r="D32" s="157"/>
      <c r="E32" s="147"/>
      <c r="F32" s="158"/>
    </row>
    <row r="33" spans="1:6" ht="15.75" thickBot="1" x14ac:dyDescent="0.3">
      <c r="A33" s="10"/>
      <c r="B33" s="42"/>
      <c r="C33" s="159"/>
      <c r="D33" s="159"/>
      <c r="E33" s="150"/>
      <c r="F33" s="160"/>
    </row>
    <row r="34" spans="1:6" ht="12.95" customHeight="1" x14ac:dyDescent="0.25">
      <c r="A34" s="54" t="s">
        <v>19</v>
      </c>
      <c r="B34" s="54"/>
      <c r="C34" s="54"/>
      <c r="D34" s="54"/>
      <c r="E34" s="54"/>
      <c r="F34" s="54"/>
    </row>
    <row r="35" spans="1:6" ht="12.95" customHeight="1" x14ac:dyDescent="0.25">
      <c r="A35" s="7" t="s">
        <v>20</v>
      </c>
      <c r="B35"/>
      <c r="C35"/>
      <c r="D35"/>
      <c r="E35"/>
      <c r="F35"/>
    </row>
    <row r="36" spans="1:6" ht="12.95" customHeight="1" x14ac:dyDescent="0.25">
      <c r="A36" s="153" t="s">
        <v>21</v>
      </c>
      <c r="B36" s="154"/>
      <c r="C36" s="154"/>
      <c r="D36" s="154"/>
      <c r="E36" s="154"/>
      <c r="F36" s="154"/>
    </row>
    <row r="37" spans="1:6" ht="12.95" customHeight="1" x14ac:dyDescent="0.25">
      <c r="A37" s="153" t="s">
        <v>22</v>
      </c>
      <c r="B37" s="154"/>
      <c r="C37" s="154"/>
      <c r="D37" s="154"/>
      <c r="E37" s="154"/>
      <c r="F37" s="154"/>
    </row>
    <row r="38" spans="1:6" ht="12.95" customHeight="1" x14ac:dyDescent="0.25">
      <c r="A38" s="153" t="s">
        <v>23</v>
      </c>
      <c r="B38" s="154"/>
      <c r="C38" s="154"/>
      <c r="D38" s="154"/>
      <c r="E38" s="154"/>
      <c r="F38" s="154"/>
    </row>
    <row r="39" spans="1:6" ht="12.95" customHeight="1" x14ac:dyDescent="0.25">
      <c r="A39" s="153" t="s">
        <v>24</v>
      </c>
      <c r="B39" s="154"/>
      <c r="C39" s="154"/>
      <c r="D39" s="154"/>
      <c r="E39" s="154"/>
      <c r="F39" s="154"/>
    </row>
    <row r="40" spans="1:6" ht="12.95" customHeight="1" x14ac:dyDescent="0.25">
      <c r="A40" s="153" t="s">
        <v>25</v>
      </c>
      <c r="B40" s="154"/>
      <c r="C40" s="154"/>
      <c r="D40" s="154"/>
      <c r="E40" s="154"/>
      <c r="F40" s="154"/>
    </row>
    <row r="41" spans="1:6" ht="12.95" customHeight="1" x14ac:dyDescent="0.25">
      <c r="A41" s="153" t="s">
        <v>26</v>
      </c>
      <c r="B41" s="154"/>
      <c r="C41" s="154"/>
      <c r="D41" s="154"/>
      <c r="E41" s="154"/>
      <c r="F41" s="154"/>
    </row>
    <row r="42" spans="1:6" ht="12.95" customHeight="1" x14ac:dyDescent="0.25">
      <c r="A42" s="153" t="s">
        <v>27</v>
      </c>
      <c r="B42" s="154"/>
      <c r="C42" s="154"/>
      <c r="D42" s="154"/>
      <c r="E42" s="154"/>
      <c r="F42" s="154"/>
    </row>
    <row r="43" spans="1:6" ht="12.95" customHeight="1" x14ac:dyDescent="0.25">
      <c r="A43" s="153" t="s">
        <v>28</v>
      </c>
      <c r="B43" s="154"/>
      <c r="C43" s="154"/>
      <c r="D43" s="154"/>
      <c r="E43" s="154"/>
      <c r="F43" s="154"/>
    </row>
    <row r="44" spans="1:6" ht="12.95" customHeight="1" x14ac:dyDescent="0.25">
      <c r="A44" s="153" t="s">
        <v>29</v>
      </c>
      <c r="B44" s="154"/>
      <c r="C44" s="154"/>
      <c r="D44" s="154"/>
      <c r="E44" s="154"/>
      <c r="F44" s="154"/>
    </row>
    <row r="45" spans="1:6" ht="12.95" customHeight="1" x14ac:dyDescent="0.25">
      <c r="A45" s="153" t="s">
        <v>30</v>
      </c>
      <c r="B45" s="154"/>
      <c r="C45" s="154"/>
      <c r="D45" s="154"/>
      <c r="E45" s="154"/>
      <c r="F45" s="154"/>
    </row>
    <row r="46" spans="1:6" ht="12.95" customHeight="1" x14ac:dyDescent="0.25">
      <c r="A46" s="153" t="s">
        <v>31</v>
      </c>
      <c r="B46" s="154"/>
      <c r="C46" s="154"/>
      <c r="D46" s="154"/>
      <c r="E46" s="154"/>
      <c r="F46" s="154"/>
    </row>
    <row r="47" spans="1:6" ht="12.95" customHeight="1" x14ac:dyDescent="0.25">
      <c r="A47" s="153" t="s">
        <v>32</v>
      </c>
      <c r="B47" s="154"/>
      <c r="C47" s="154"/>
      <c r="D47" s="154"/>
      <c r="E47" s="154"/>
      <c r="F47" s="154"/>
    </row>
    <row r="48" spans="1:6" ht="12.95" customHeight="1" x14ac:dyDescent="0.25">
      <c r="A48" s="153" t="s">
        <v>33</v>
      </c>
      <c r="B48" s="154"/>
      <c r="C48" s="154"/>
      <c r="D48" s="154"/>
      <c r="E48" s="154"/>
      <c r="F48" s="154"/>
    </row>
    <row r="49" spans="1:6" ht="12.95" customHeight="1" x14ac:dyDescent="0.25">
      <c r="A49" s="163" t="s">
        <v>212</v>
      </c>
      <c r="B49" s="163"/>
      <c r="C49" s="163"/>
      <c r="D49" s="163"/>
      <c r="E49" s="163"/>
      <c r="F49" s="163"/>
    </row>
    <row r="50" spans="1:6" ht="12.95" customHeight="1" x14ac:dyDescent="0.25">
      <c r="A50" s="153" t="s">
        <v>34</v>
      </c>
      <c r="B50" s="154"/>
      <c r="C50" s="154"/>
      <c r="D50" s="154"/>
      <c r="E50" s="154"/>
      <c r="F50" s="154"/>
    </row>
    <row r="51" spans="1:6" ht="12.95" customHeight="1" x14ac:dyDescent="0.25"/>
    <row r="52" spans="1:6" ht="12.95" customHeight="1" x14ac:dyDescent="0.25"/>
    <row r="53" spans="1:6" ht="12.95" customHeight="1" x14ac:dyDescent="0.25"/>
    <row r="54" spans="1:6" ht="12.95" customHeight="1" x14ac:dyDescent="0.25">
      <c r="A54" s="161" t="str">
        <f>B4</f>
        <v>JORGE ISAIAS RIVAS IBARRA</v>
      </c>
      <c r="B54" s="161"/>
      <c r="C54" s="161"/>
      <c r="D54" s="161"/>
      <c r="E54" s="161"/>
      <c r="F54" s="161"/>
    </row>
    <row r="55" spans="1:6" ht="3" customHeight="1" x14ac:dyDescent="0.25">
      <c r="A55" s="161" t="s">
        <v>213</v>
      </c>
      <c r="B55" s="161"/>
      <c r="C55" s="161"/>
      <c r="D55" s="161"/>
      <c r="E55" s="161"/>
      <c r="F55" s="161"/>
    </row>
    <row r="56" spans="1:6" ht="12.95" customHeight="1" x14ac:dyDescent="0.25">
      <c r="A56" s="162" t="s">
        <v>35</v>
      </c>
      <c r="B56" s="162"/>
      <c r="C56" s="162"/>
      <c r="D56" s="162"/>
      <c r="E56" s="162"/>
      <c r="F56" s="162"/>
    </row>
  </sheetData>
  <mergeCells count="41">
    <mergeCell ref="A49:F49"/>
    <mergeCell ref="A54:F54"/>
    <mergeCell ref="A43:F43"/>
    <mergeCell ref="A44:F44"/>
    <mergeCell ref="A45:F45"/>
    <mergeCell ref="A46:F46"/>
    <mergeCell ref="A47:F47"/>
    <mergeCell ref="A48:F48"/>
    <mergeCell ref="A50:F50"/>
    <mergeCell ref="D24:F24"/>
    <mergeCell ref="D25:F25"/>
    <mergeCell ref="D26:F26"/>
    <mergeCell ref="D27:F27"/>
    <mergeCell ref="A42:F42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1:F41"/>
    <mergeCell ref="A55:F55"/>
    <mergeCell ref="A56:F56"/>
    <mergeCell ref="F12:F15"/>
    <mergeCell ref="A1:F1"/>
    <mergeCell ref="A2:F2"/>
    <mergeCell ref="B4:D4"/>
    <mergeCell ref="D8:E8"/>
    <mergeCell ref="A10:F10"/>
    <mergeCell ref="A28:F28"/>
    <mergeCell ref="B17:F17"/>
    <mergeCell ref="A18:F18"/>
    <mergeCell ref="D19:F19"/>
    <mergeCell ref="D20:F20"/>
    <mergeCell ref="D21:F21"/>
    <mergeCell ref="D22:F22"/>
    <mergeCell ref="D23:F23"/>
  </mergeCells>
  <printOptions horizontalCentered="1"/>
  <pageMargins left="0" right="0" top="0" bottom="0" header="0.31496062992125984" footer="0.31496062992125984"/>
  <pageSetup paperSize="9" scale="8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USUARIOS!$B$4:$B$56</xm:f>
          </x14:formula1>
          <xm:sqref>B4:D4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pageSetUpPr fitToPage="1"/>
  </sheetPr>
  <dimension ref="A1:H56"/>
  <sheetViews>
    <sheetView workbookViewId="0">
      <selection activeCell="E4" sqref="E4"/>
    </sheetView>
  </sheetViews>
  <sheetFormatPr baseColWidth="10" defaultColWidth="11.42578125" defaultRowHeight="15" x14ac:dyDescent="0.25"/>
  <cols>
    <col min="1" max="1" width="21.7109375" style="1" customWidth="1"/>
    <col min="2" max="2" width="11.5703125" style="1" customWidth="1"/>
    <col min="3" max="3" width="11.42578125" style="1" customWidth="1"/>
    <col min="4" max="5" width="14.5703125" style="1" customWidth="1"/>
    <col min="6" max="6" width="45.140625" style="1" bestFit="1" customWidth="1"/>
    <col min="7" max="16384" width="11.42578125" style="1"/>
  </cols>
  <sheetData>
    <row r="1" spans="1:6" ht="37.5" customHeight="1" x14ac:dyDescent="0.25">
      <c r="A1" s="132" t="s">
        <v>0</v>
      </c>
      <c r="B1" s="132"/>
      <c r="C1" s="132"/>
      <c r="D1" s="132"/>
      <c r="E1" s="132"/>
      <c r="F1" s="132"/>
    </row>
    <row r="2" spans="1:6" s="4" customFormat="1" ht="26.25" customHeight="1" thickBot="1" x14ac:dyDescent="0.4">
      <c r="A2" s="133" t="s">
        <v>81</v>
      </c>
      <c r="B2" s="133"/>
      <c r="C2" s="133"/>
      <c r="D2" s="133"/>
      <c r="E2" s="133"/>
      <c r="F2" s="133"/>
    </row>
    <row r="3" spans="1:6" ht="12" customHeight="1" x14ac:dyDescent="0.25">
      <c r="A3" s="28"/>
      <c r="B3" s="29"/>
      <c r="C3" s="29"/>
      <c r="D3" s="29"/>
      <c r="E3" s="29"/>
      <c r="F3" s="30"/>
    </row>
    <row r="4" spans="1:6" s="2" customFormat="1" ht="12" customHeight="1" thickBot="1" x14ac:dyDescent="0.3">
      <c r="A4" s="13" t="s">
        <v>387</v>
      </c>
      <c r="B4" s="118" t="s">
        <v>358</v>
      </c>
      <c r="C4" s="118"/>
      <c r="D4" s="118"/>
      <c r="E4" s="83" t="s">
        <v>261</v>
      </c>
      <c r="F4" s="84" t="s">
        <v>264</v>
      </c>
    </row>
    <row r="5" spans="1:6" s="2" customFormat="1" ht="12" customHeight="1" x14ac:dyDescent="0.25">
      <c r="A5" s="12"/>
      <c r="B5" s="34"/>
      <c r="C5" s="34"/>
      <c r="D5" s="34"/>
      <c r="E5" s="34"/>
      <c r="F5" s="35"/>
    </row>
    <row r="6" spans="1:6" s="2" customFormat="1" ht="12" customHeight="1" thickBot="1" x14ac:dyDescent="0.3">
      <c r="A6" s="13" t="s">
        <v>16</v>
      </c>
      <c r="B6" s="31" t="s">
        <v>48</v>
      </c>
      <c r="C6" s="32"/>
      <c r="D6" s="32"/>
      <c r="E6" s="32"/>
      <c r="F6" s="33"/>
    </row>
    <row r="7" spans="1:6" s="5" customFormat="1" ht="12" customHeight="1" x14ac:dyDescent="0.25">
      <c r="A7" s="36"/>
      <c r="B7" s="37"/>
      <c r="C7" s="37"/>
      <c r="D7" s="37"/>
      <c r="E7" s="37"/>
      <c r="F7" s="38"/>
    </row>
    <row r="8" spans="1:6" s="5" customFormat="1" ht="12" customHeight="1" thickBot="1" x14ac:dyDescent="0.3">
      <c r="A8" s="36"/>
      <c r="B8" s="37"/>
      <c r="C8" s="37"/>
      <c r="D8" s="134" t="s">
        <v>61</v>
      </c>
      <c r="E8" s="134"/>
      <c r="F8" s="53">
        <f ca="1">NOW()</f>
        <v>46196.458986458332</v>
      </c>
    </row>
    <row r="9" spans="1:6" s="2" customFormat="1" ht="12" customHeight="1" thickBot="1" x14ac:dyDescent="0.3">
      <c r="A9" s="39"/>
      <c r="B9" s="32"/>
      <c r="C9" s="32"/>
      <c r="D9" s="32"/>
      <c r="E9" s="32"/>
      <c r="F9" s="64">
        <f ca="1">NOW()</f>
        <v>46196.458986458332</v>
      </c>
    </row>
    <row r="10" spans="1:6" s="6" customFormat="1" ht="13.5" thickBot="1" x14ac:dyDescent="0.25">
      <c r="A10" s="135" t="s">
        <v>17</v>
      </c>
      <c r="B10" s="136"/>
      <c r="C10" s="136"/>
      <c r="D10" s="136"/>
      <c r="E10" s="136"/>
      <c r="F10" s="137"/>
    </row>
    <row r="11" spans="1:6" s="14" customFormat="1" ht="13.5" thickBot="1" x14ac:dyDescent="0.25">
      <c r="A11" s="40" t="s">
        <v>11</v>
      </c>
      <c r="B11" s="40" t="s">
        <v>12</v>
      </c>
      <c r="C11" s="40" t="s">
        <v>13</v>
      </c>
      <c r="D11" s="40" t="s">
        <v>37</v>
      </c>
      <c r="E11" s="40" t="s">
        <v>51</v>
      </c>
      <c r="F11" s="40" t="s">
        <v>10</v>
      </c>
    </row>
    <row r="12" spans="1:6" x14ac:dyDescent="0.25">
      <c r="A12" s="11" t="s">
        <v>49</v>
      </c>
      <c r="B12" s="45" t="s">
        <v>50</v>
      </c>
      <c r="C12" s="45" t="s">
        <v>158</v>
      </c>
      <c r="D12" s="45" t="s">
        <v>159</v>
      </c>
      <c r="E12" s="46">
        <v>1</v>
      </c>
      <c r="F12" s="129" t="s">
        <v>71</v>
      </c>
    </row>
    <row r="13" spans="1:6" x14ac:dyDescent="0.25">
      <c r="A13" s="9" t="s">
        <v>52</v>
      </c>
      <c r="B13" s="45" t="s">
        <v>67</v>
      </c>
      <c r="C13" s="45" t="s">
        <v>68</v>
      </c>
      <c r="D13" s="45" t="s">
        <v>160</v>
      </c>
      <c r="E13" s="46">
        <v>1</v>
      </c>
      <c r="F13" s="130"/>
    </row>
    <row r="14" spans="1:6" x14ac:dyDescent="0.25">
      <c r="A14" s="9" t="s">
        <v>54</v>
      </c>
      <c r="B14" s="45" t="s">
        <v>69</v>
      </c>
      <c r="C14" s="45"/>
      <c r="D14" s="45" t="s">
        <v>161</v>
      </c>
      <c r="E14" s="45"/>
      <c r="F14" s="130"/>
    </row>
    <row r="15" spans="1:6" x14ac:dyDescent="0.25">
      <c r="A15" s="9" t="s">
        <v>56</v>
      </c>
      <c r="B15" s="45" t="s">
        <v>104</v>
      </c>
      <c r="C15" s="45"/>
      <c r="D15" s="75">
        <v>866645058867354</v>
      </c>
      <c r="E15" s="49"/>
      <c r="F15" s="131"/>
    </row>
    <row r="16" spans="1:6" x14ac:dyDescent="0.25">
      <c r="A16" s="47" t="s">
        <v>59</v>
      </c>
      <c r="B16" s="50"/>
      <c r="C16" s="48"/>
      <c r="D16" s="48"/>
      <c r="E16" s="51"/>
      <c r="F16" s="52"/>
    </row>
    <row r="17" spans="1:6" ht="21.75" thickBot="1" x14ac:dyDescent="0.4">
      <c r="A17" s="10" t="s">
        <v>1</v>
      </c>
      <c r="B17" s="141"/>
      <c r="C17" s="142"/>
      <c r="D17" s="142"/>
      <c r="E17" s="142"/>
      <c r="F17" s="143"/>
    </row>
    <row r="18" spans="1:6" s="14" customFormat="1" ht="13.5" thickBot="1" x14ac:dyDescent="0.25">
      <c r="A18" s="135" t="s">
        <v>18</v>
      </c>
      <c r="B18" s="136"/>
      <c r="C18" s="136"/>
      <c r="D18" s="136"/>
      <c r="E18" s="136"/>
      <c r="F18" s="137"/>
    </row>
    <row r="19" spans="1:6" s="14" customFormat="1" ht="13.5" thickBot="1" x14ac:dyDescent="0.25">
      <c r="A19" s="43" t="s">
        <v>11</v>
      </c>
      <c r="B19" s="43" t="s">
        <v>14</v>
      </c>
      <c r="C19" s="43" t="s">
        <v>15</v>
      </c>
      <c r="D19" s="135" t="s">
        <v>10</v>
      </c>
      <c r="E19" s="136"/>
      <c r="F19" s="137"/>
    </row>
    <row r="20" spans="1:6" x14ac:dyDescent="0.25">
      <c r="A20" s="8" t="s">
        <v>2</v>
      </c>
      <c r="B20" s="44"/>
      <c r="C20" s="44"/>
      <c r="D20" s="144"/>
      <c r="E20" s="145"/>
      <c r="F20" s="146"/>
    </row>
    <row r="21" spans="1:6" x14ac:dyDescent="0.25">
      <c r="A21" s="9" t="s">
        <v>3</v>
      </c>
      <c r="B21" s="41"/>
      <c r="C21" s="41"/>
      <c r="D21" s="147"/>
      <c r="E21" s="148"/>
      <c r="F21" s="149"/>
    </row>
    <row r="22" spans="1:6" x14ac:dyDescent="0.25">
      <c r="A22" s="9" t="s">
        <v>4</v>
      </c>
      <c r="B22" s="41"/>
      <c r="C22" s="41"/>
      <c r="D22" s="147"/>
      <c r="E22" s="148"/>
      <c r="F22" s="149"/>
    </row>
    <row r="23" spans="1:6" x14ac:dyDescent="0.25">
      <c r="A23" s="9" t="s">
        <v>5</v>
      </c>
      <c r="B23" s="41"/>
      <c r="C23" s="41"/>
      <c r="D23" s="147"/>
      <c r="E23" s="148"/>
      <c r="F23" s="149"/>
    </row>
    <row r="24" spans="1:6" x14ac:dyDescent="0.25">
      <c r="A24" s="9" t="s">
        <v>6</v>
      </c>
      <c r="B24" s="41"/>
      <c r="C24" s="41"/>
      <c r="D24" s="147"/>
      <c r="E24" s="148"/>
      <c r="F24" s="149"/>
    </row>
    <row r="25" spans="1:6" x14ac:dyDescent="0.25">
      <c r="A25" s="9" t="s">
        <v>7</v>
      </c>
      <c r="B25" s="41"/>
      <c r="C25" s="41"/>
      <c r="D25" s="147"/>
      <c r="E25" s="148"/>
      <c r="F25" s="149"/>
    </row>
    <row r="26" spans="1:6" x14ac:dyDescent="0.25">
      <c r="A26" s="9" t="s">
        <v>1</v>
      </c>
      <c r="B26" s="41"/>
      <c r="C26" s="41"/>
      <c r="D26" s="147"/>
      <c r="E26" s="148"/>
      <c r="F26" s="149"/>
    </row>
    <row r="27" spans="1:6" ht="15.75" thickBot="1" x14ac:dyDescent="0.3">
      <c r="A27" s="10" t="s">
        <v>1</v>
      </c>
      <c r="B27" s="42"/>
      <c r="C27" s="42"/>
      <c r="D27" s="150"/>
      <c r="E27" s="151"/>
      <c r="F27" s="152"/>
    </row>
    <row r="28" spans="1:6" s="14" customFormat="1" ht="13.5" thickBot="1" x14ac:dyDescent="0.25">
      <c r="A28" s="138" t="s">
        <v>8</v>
      </c>
      <c r="B28" s="139"/>
      <c r="C28" s="139"/>
      <c r="D28" s="139"/>
      <c r="E28" s="139"/>
      <c r="F28" s="140"/>
    </row>
    <row r="29" spans="1:6" s="3" customFormat="1" ht="18.75" x14ac:dyDescent="0.3">
      <c r="A29" s="8" t="s">
        <v>9</v>
      </c>
      <c r="B29" s="44"/>
      <c r="C29" s="155"/>
      <c r="D29" s="155"/>
      <c r="E29" s="144"/>
      <c r="F29" s="156"/>
    </row>
    <row r="30" spans="1:6" x14ac:dyDescent="0.25">
      <c r="A30" s="9" t="s">
        <v>47</v>
      </c>
      <c r="B30" s="41"/>
      <c r="C30" s="157"/>
      <c r="D30" s="157"/>
      <c r="E30" s="147"/>
      <c r="F30" s="158"/>
    </row>
    <row r="31" spans="1:6" x14ac:dyDescent="0.25">
      <c r="B31" s="41"/>
      <c r="C31" s="157"/>
      <c r="D31" s="157"/>
      <c r="E31" s="147"/>
      <c r="F31" s="158"/>
    </row>
    <row r="32" spans="1:6" x14ac:dyDescent="0.25">
      <c r="A32" s="9"/>
      <c r="B32" s="41"/>
      <c r="C32" s="157"/>
      <c r="D32" s="157"/>
      <c r="E32" s="147"/>
      <c r="F32" s="158"/>
    </row>
    <row r="33" spans="1:8" ht="15.75" thickBot="1" x14ac:dyDescent="0.3">
      <c r="A33" s="10"/>
      <c r="B33" s="42"/>
      <c r="C33" s="159"/>
      <c r="D33" s="159"/>
      <c r="E33" s="150"/>
      <c r="F33" s="160"/>
    </row>
    <row r="34" spans="1:8" ht="12.95" customHeight="1" x14ac:dyDescent="0.25">
      <c r="A34" s="54" t="s">
        <v>19</v>
      </c>
      <c r="B34" s="54"/>
      <c r="C34" s="54"/>
      <c r="D34" s="54"/>
      <c r="E34" s="54"/>
      <c r="F34" s="54"/>
      <c r="G34" s="7"/>
      <c r="H34" s="7"/>
    </row>
    <row r="35" spans="1:8" ht="12.95" customHeight="1" x14ac:dyDescent="0.25">
      <c r="A35" s="7" t="s">
        <v>20</v>
      </c>
      <c r="B35"/>
      <c r="C35"/>
      <c r="D35"/>
      <c r="E35"/>
      <c r="F35"/>
      <c r="G35" s="7"/>
      <c r="H35" s="7"/>
    </row>
    <row r="36" spans="1:8" ht="12.95" customHeight="1" x14ac:dyDescent="0.25">
      <c r="A36" s="153" t="s">
        <v>21</v>
      </c>
      <c r="B36" s="154"/>
      <c r="C36" s="154"/>
      <c r="D36" s="154"/>
      <c r="E36" s="154"/>
      <c r="F36" s="154"/>
      <c r="G36" s="7"/>
      <c r="H36" s="7"/>
    </row>
    <row r="37" spans="1:8" ht="12.95" customHeight="1" x14ac:dyDescent="0.25">
      <c r="A37" s="153" t="s">
        <v>22</v>
      </c>
      <c r="B37" s="154"/>
      <c r="C37" s="154"/>
      <c r="D37" s="154"/>
      <c r="E37" s="154"/>
      <c r="F37" s="154"/>
      <c r="G37" s="7"/>
      <c r="H37" s="7"/>
    </row>
    <row r="38" spans="1:8" ht="12.95" customHeight="1" x14ac:dyDescent="0.25">
      <c r="A38" s="153" t="s">
        <v>23</v>
      </c>
      <c r="B38" s="154"/>
      <c r="C38" s="154"/>
      <c r="D38" s="154"/>
      <c r="E38" s="154"/>
      <c r="F38" s="154"/>
      <c r="G38" s="7"/>
      <c r="H38" s="7"/>
    </row>
    <row r="39" spans="1:8" ht="12.95" customHeight="1" x14ac:dyDescent="0.25">
      <c r="A39" s="153" t="s">
        <v>24</v>
      </c>
      <c r="B39" s="154"/>
      <c r="C39" s="154"/>
      <c r="D39" s="154"/>
      <c r="E39" s="154"/>
      <c r="F39" s="154"/>
      <c r="G39" s="7"/>
      <c r="H39" s="7"/>
    </row>
    <row r="40" spans="1:8" ht="12.95" customHeight="1" x14ac:dyDescent="0.25">
      <c r="A40" s="153" t="s">
        <v>25</v>
      </c>
      <c r="B40" s="154"/>
      <c r="C40" s="154"/>
      <c r="D40" s="154"/>
      <c r="E40" s="154"/>
      <c r="F40" s="154"/>
      <c r="G40" s="7"/>
      <c r="H40" s="7"/>
    </row>
    <row r="41" spans="1:8" ht="12.95" customHeight="1" x14ac:dyDescent="0.25">
      <c r="A41" s="153" t="s">
        <v>26</v>
      </c>
      <c r="B41" s="154"/>
      <c r="C41" s="154"/>
      <c r="D41" s="154"/>
      <c r="E41" s="154"/>
      <c r="F41" s="154"/>
      <c r="G41" s="7"/>
      <c r="H41" s="7"/>
    </row>
    <row r="42" spans="1:8" ht="12.95" customHeight="1" x14ac:dyDescent="0.25">
      <c r="A42" s="153" t="s">
        <v>27</v>
      </c>
      <c r="B42" s="154"/>
      <c r="C42" s="154"/>
      <c r="D42" s="154"/>
      <c r="E42" s="154"/>
      <c r="F42" s="154"/>
      <c r="G42" s="7"/>
      <c r="H42" s="7"/>
    </row>
    <row r="43" spans="1:8" ht="12.95" customHeight="1" x14ac:dyDescent="0.25">
      <c r="A43" s="153" t="s">
        <v>28</v>
      </c>
      <c r="B43" s="154"/>
      <c r="C43" s="154"/>
      <c r="D43" s="154"/>
      <c r="E43" s="154"/>
      <c r="F43" s="154"/>
      <c r="G43" s="7"/>
      <c r="H43" s="7"/>
    </row>
    <row r="44" spans="1:8" ht="12.95" customHeight="1" x14ac:dyDescent="0.25">
      <c r="A44" s="153" t="s">
        <v>29</v>
      </c>
      <c r="B44" s="154"/>
      <c r="C44" s="154"/>
      <c r="D44" s="154"/>
      <c r="E44" s="154"/>
      <c r="F44" s="154"/>
      <c r="G44" s="7"/>
      <c r="H44" s="7"/>
    </row>
    <row r="45" spans="1:8" ht="12.95" customHeight="1" x14ac:dyDescent="0.25">
      <c r="A45" s="153" t="s">
        <v>30</v>
      </c>
      <c r="B45" s="154"/>
      <c r="C45" s="154"/>
      <c r="D45" s="154"/>
      <c r="E45" s="154"/>
      <c r="F45" s="154"/>
      <c r="G45" s="7"/>
      <c r="H45" s="7"/>
    </row>
    <row r="46" spans="1:8" ht="12.95" customHeight="1" x14ac:dyDescent="0.25">
      <c r="A46" s="153" t="s">
        <v>31</v>
      </c>
      <c r="B46" s="154"/>
      <c r="C46" s="154"/>
      <c r="D46" s="154"/>
      <c r="E46" s="154"/>
      <c r="F46" s="154"/>
      <c r="G46" s="7"/>
      <c r="H46" s="7"/>
    </row>
    <row r="47" spans="1:8" ht="12.95" customHeight="1" x14ac:dyDescent="0.25">
      <c r="A47" s="153" t="s">
        <v>32</v>
      </c>
      <c r="B47" s="154"/>
      <c r="C47" s="154"/>
      <c r="D47" s="154"/>
      <c r="E47" s="154"/>
      <c r="F47" s="154"/>
      <c r="G47" s="7"/>
      <c r="H47" s="7"/>
    </row>
    <row r="48" spans="1:8" ht="12.95" customHeight="1" x14ac:dyDescent="0.25">
      <c r="A48" s="153" t="s">
        <v>33</v>
      </c>
      <c r="B48" s="154"/>
      <c r="C48" s="154"/>
      <c r="D48" s="154"/>
      <c r="E48" s="154"/>
      <c r="F48" s="154"/>
      <c r="G48" s="7"/>
      <c r="H48" s="7"/>
    </row>
    <row r="49" spans="1:8" ht="12.95" customHeight="1" x14ac:dyDescent="0.25">
      <c r="A49" s="163" t="s">
        <v>212</v>
      </c>
      <c r="B49" s="163"/>
      <c r="C49" s="163"/>
      <c r="D49" s="163"/>
      <c r="E49" s="163"/>
      <c r="F49" s="163"/>
      <c r="G49" s="7"/>
      <c r="H49" s="7"/>
    </row>
    <row r="50" spans="1:8" ht="12.95" customHeight="1" x14ac:dyDescent="0.25">
      <c r="A50" s="153" t="s">
        <v>34</v>
      </c>
      <c r="B50" s="154"/>
      <c r="C50" s="154"/>
      <c r="D50" s="154"/>
      <c r="E50" s="154"/>
      <c r="F50" s="154"/>
      <c r="G50" s="7"/>
      <c r="H50" s="7"/>
    </row>
    <row r="51" spans="1:8" ht="12.95" customHeight="1" x14ac:dyDescent="0.25"/>
    <row r="52" spans="1:8" ht="12.95" customHeight="1" x14ac:dyDescent="0.25"/>
    <row r="53" spans="1:8" ht="12.95" customHeight="1" x14ac:dyDescent="0.25"/>
    <row r="54" spans="1:8" ht="12.95" customHeight="1" x14ac:dyDescent="0.25">
      <c r="A54" s="161" t="str">
        <f>B4</f>
        <v>MONSERRAT ROMERO BORJA</v>
      </c>
      <c r="B54" s="161"/>
      <c r="C54" s="161"/>
      <c r="D54" s="161"/>
      <c r="E54" s="161"/>
      <c r="F54" s="161"/>
    </row>
    <row r="55" spans="1:8" ht="3" customHeight="1" x14ac:dyDescent="0.25">
      <c r="A55" s="161" t="s">
        <v>213</v>
      </c>
      <c r="B55" s="161"/>
      <c r="C55" s="161"/>
      <c r="D55" s="161"/>
      <c r="E55" s="161"/>
      <c r="F55" s="161"/>
    </row>
    <row r="56" spans="1:8" ht="12.95" customHeight="1" x14ac:dyDescent="0.25">
      <c r="A56" s="162" t="s">
        <v>35</v>
      </c>
      <c r="B56" s="162"/>
      <c r="C56" s="162"/>
      <c r="D56" s="162"/>
      <c r="E56" s="162"/>
      <c r="F56" s="162"/>
    </row>
  </sheetData>
  <mergeCells count="41">
    <mergeCell ref="F12:F15"/>
    <mergeCell ref="A1:F1"/>
    <mergeCell ref="A2:F2"/>
    <mergeCell ref="B4:D4"/>
    <mergeCell ref="D8:E8"/>
    <mergeCell ref="A10:F10"/>
    <mergeCell ref="A28:F28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A42:F42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1:F41"/>
    <mergeCell ref="A55:F55"/>
    <mergeCell ref="A56:F56"/>
    <mergeCell ref="A49:F49"/>
    <mergeCell ref="A54:F54"/>
    <mergeCell ref="A43:F43"/>
    <mergeCell ref="A44:F44"/>
    <mergeCell ref="A45:F45"/>
    <mergeCell ref="A46:F46"/>
    <mergeCell ref="A47:F47"/>
    <mergeCell ref="A48:F48"/>
    <mergeCell ref="A50:F50"/>
  </mergeCells>
  <printOptions horizontalCentered="1"/>
  <pageMargins left="0" right="0" top="0" bottom="0" header="0.31496062992125984" footer="0.31496062992125984"/>
  <pageSetup paperSize="9" scale="8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USUARIOS!$B$4:$B$56</xm:f>
          </x14:formula1>
          <xm:sqref>B4:D4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A1:H56"/>
  <sheetViews>
    <sheetView tabSelected="1" workbookViewId="0">
      <selection activeCell="B4" sqref="B4:D4"/>
    </sheetView>
  </sheetViews>
  <sheetFormatPr baseColWidth="10" defaultColWidth="11.42578125" defaultRowHeight="15" x14ac:dyDescent="0.25"/>
  <cols>
    <col min="1" max="1" width="21.7109375" style="1" customWidth="1"/>
    <col min="2" max="2" width="11.5703125" style="1" customWidth="1"/>
    <col min="3" max="3" width="11.42578125" style="1" customWidth="1"/>
    <col min="4" max="5" width="14.5703125" style="1" customWidth="1"/>
    <col min="6" max="6" width="45.140625" style="1" bestFit="1" customWidth="1"/>
    <col min="7" max="16384" width="11.42578125" style="1"/>
  </cols>
  <sheetData>
    <row r="1" spans="1:6" ht="37.5" customHeight="1" x14ac:dyDescent="0.25">
      <c r="A1" s="132" t="s">
        <v>0</v>
      </c>
      <c r="B1" s="132"/>
      <c r="C1" s="132"/>
      <c r="D1" s="132"/>
      <c r="E1" s="132"/>
      <c r="F1" s="132"/>
    </row>
    <row r="2" spans="1:6" s="4" customFormat="1" ht="26.25" customHeight="1" thickBot="1" x14ac:dyDescent="0.4">
      <c r="A2" s="133" t="s">
        <v>82</v>
      </c>
      <c r="B2" s="133"/>
      <c r="C2" s="133"/>
      <c r="D2" s="133"/>
      <c r="E2" s="133"/>
      <c r="F2" s="133"/>
    </row>
    <row r="3" spans="1:6" ht="12" customHeight="1" x14ac:dyDescent="0.25">
      <c r="A3" s="28"/>
      <c r="B3" s="29"/>
      <c r="C3" s="29"/>
      <c r="D3" s="29"/>
      <c r="E3" s="29"/>
      <c r="F3" s="30"/>
    </row>
    <row r="4" spans="1:6" s="2" customFormat="1" ht="12" customHeight="1" thickBot="1" x14ac:dyDescent="0.3">
      <c r="A4" s="13" t="s">
        <v>60</v>
      </c>
      <c r="B4" s="118" t="s">
        <v>410</v>
      </c>
      <c r="C4" s="118"/>
      <c r="D4" s="118"/>
      <c r="E4" s="83" t="s">
        <v>262</v>
      </c>
      <c r="F4" s="84"/>
    </row>
    <row r="5" spans="1:6" s="2" customFormat="1" ht="12" customHeight="1" x14ac:dyDescent="0.25">
      <c r="A5" s="12"/>
      <c r="B5" s="34"/>
      <c r="C5" s="34"/>
      <c r="D5" s="34"/>
      <c r="E5" s="34"/>
      <c r="F5" s="35"/>
    </row>
    <row r="6" spans="1:6" s="2" customFormat="1" ht="12" customHeight="1" thickBot="1" x14ac:dyDescent="0.3">
      <c r="A6" s="13" t="s">
        <v>16</v>
      </c>
      <c r="B6" s="31" t="s">
        <v>48</v>
      </c>
      <c r="C6" s="32"/>
      <c r="D6" s="32"/>
      <c r="E6" s="32"/>
      <c r="F6" s="33"/>
    </row>
    <row r="7" spans="1:6" s="5" customFormat="1" ht="12" customHeight="1" x14ac:dyDescent="0.25">
      <c r="A7" s="36"/>
      <c r="B7" s="37"/>
      <c r="C7" s="37"/>
      <c r="D7" s="37"/>
      <c r="E7" s="37"/>
      <c r="F7" s="38"/>
    </row>
    <row r="8" spans="1:6" s="5" customFormat="1" ht="12" customHeight="1" thickBot="1" x14ac:dyDescent="0.3">
      <c r="A8" s="36"/>
      <c r="B8" s="37"/>
      <c r="C8" s="37"/>
      <c r="D8" s="134" t="s">
        <v>61</v>
      </c>
      <c r="E8" s="134"/>
      <c r="F8" s="53">
        <f ca="1">NOW()</f>
        <v>46196.458986458332</v>
      </c>
    </row>
    <row r="9" spans="1:6" s="2" customFormat="1" ht="12" customHeight="1" thickBot="1" x14ac:dyDescent="0.3">
      <c r="A9" s="39"/>
      <c r="B9" s="32"/>
      <c r="C9" s="32"/>
      <c r="D9" s="32"/>
      <c r="E9" s="32"/>
      <c r="F9" s="64">
        <f ca="1">NOW()</f>
        <v>46196.458986458332</v>
      </c>
    </row>
    <row r="10" spans="1:6" s="6" customFormat="1" ht="13.5" thickBot="1" x14ac:dyDescent="0.25">
      <c r="A10" s="135" t="s">
        <v>17</v>
      </c>
      <c r="B10" s="136"/>
      <c r="C10" s="136"/>
      <c r="D10" s="136"/>
      <c r="E10" s="136"/>
      <c r="F10" s="137"/>
    </row>
    <row r="11" spans="1:6" s="14" customFormat="1" ht="13.5" thickBot="1" x14ac:dyDescent="0.25">
      <c r="A11" s="40" t="s">
        <v>11</v>
      </c>
      <c r="B11" s="40" t="s">
        <v>12</v>
      </c>
      <c r="C11" s="40" t="s">
        <v>13</v>
      </c>
      <c r="D11" s="40" t="s">
        <v>37</v>
      </c>
      <c r="E11" s="40" t="s">
        <v>51</v>
      </c>
      <c r="F11" s="40" t="s">
        <v>10</v>
      </c>
    </row>
    <row r="12" spans="1:6" x14ac:dyDescent="0.25">
      <c r="A12" s="11" t="s">
        <v>49</v>
      </c>
      <c r="B12" s="45" t="s">
        <v>50</v>
      </c>
      <c r="C12" s="45" t="s">
        <v>163</v>
      </c>
      <c r="D12" s="45" t="s">
        <v>162</v>
      </c>
      <c r="E12" s="46">
        <v>1</v>
      </c>
      <c r="F12" s="129" t="s">
        <v>71</v>
      </c>
    </row>
    <row r="13" spans="1:6" x14ac:dyDescent="0.25">
      <c r="A13" s="9" t="s">
        <v>52</v>
      </c>
      <c r="B13" s="45" t="s">
        <v>67</v>
      </c>
      <c r="C13" s="45" t="s">
        <v>68</v>
      </c>
      <c r="D13" s="45" t="s">
        <v>164</v>
      </c>
      <c r="E13" s="46">
        <v>1</v>
      </c>
      <c r="F13" s="130"/>
    </row>
    <row r="14" spans="1:6" x14ac:dyDescent="0.25">
      <c r="A14" s="9" t="s">
        <v>54</v>
      </c>
      <c r="B14" s="45" t="s">
        <v>69</v>
      </c>
      <c r="C14" s="45"/>
      <c r="D14" s="45" t="s">
        <v>165</v>
      </c>
      <c r="E14" s="45"/>
      <c r="F14" s="130"/>
    </row>
    <row r="15" spans="1:6" x14ac:dyDescent="0.25">
      <c r="A15" s="9" t="s">
        <v>56</v>
      </c>
      <c r="B15" s="45"/>
      <c r="C15" s="45"/>
      <c r="D15" s="75">
        <v>866645058867321</v>
      </c>
      <c r="E15" s="49"/>
      <c r="F15" s="131"/>
    </row>
    <row r="16" spans="1:6" x14ac:dyDescent="0.25">
      <c r="A16" s="47" t="s">
        <v>59</v>
      </c>
      <c r="B16" s="50"/>
      <c r="C16" s="48"/>
      <c r="D16" s="48"/>
      <c r="E16" s="51"/>
      <c r="F16" s="52"/>
    </row>
    <row r="17" spans="1:6" ht="21.75" thickBot="1" x14ac:dyDescent="0.4">
      <c r="A17" s="10" t="s">
        <v>1</v>
      </c>
      <c r="B17" s="141"/>
      <c r="C17" s="142"/>
      <c r="D17" s="142"/>
      <c r="E17" s="142"/>
      <c r="F17" s="143"/>
    </row>
    <row r="18" spans="1:6" s="14" customFormat="1" ht="13.5" thickBot="1" x14ac:dyDescent="0.25">
      <c r="A18" s="135" t="s">
        <v>18</v>
      </c>
      <c r="B18" s="136"/>
      <c r="C18" s="136"/>
      <c r="D18" s="136"/>
      <c r="E18" s="136"/>
      <c r="F18" s="137"/>
    </row>
    <row r="19" spans="1:6" s="14" customFormat="1" ht="13.5" thickBot="1" x14ac:dyDescent="0.25">
      <c r="A19" s="43" t="s">
        <v>11</v>
      </c>
      <c r="B19" s="43" t="s">
        <v>14</v>
      </c>
      <c r="C19" s="43" t="s">
        <v>15</v>
      </c>
      <c r="D19" s="135" t="s">
        <v>10</v>
      </c>
      <c r="E19" s="136"/>
      <c r="F19" s="137"/>
    </row>
    <row r="20" spans="1:6" x14ac:dyDescent="0.25">
      <c r="A20" s="8" t="s">
        <v>2</v>
      </c>
      <c r="B20" s="44"/>
      <c r="C20" s="44"/>
      <c r="D20" s="144"/>
      <c r="E20" s="145"/>
      <c r="F20" s="146"/>
    </row>
    <row r="21" spans="1:6" x14ac:dyDescent="0.25">
      <c r="A21" s="9" t="s">
        <v>3</v>
      </c>
      <c r="B21" s="41"/>
      <c r="C21" s="41"/>
      <c r="D21" s="147"/>
      <c r="E21" s="148"/>
      <c r="F21" s="149"/>
    </row>
    <row r="22" spans="1:6" x14ac:dyDescent="0.25">
      <c r="A22" s="9" t="s">
        <v>4</v>
      </c>
      <c r="B22" s="41"/>
      <c r="C22" s="41"/>
      <c r="D22" s="147"/>
      <c r="E22" s="148"/>
      <c r="F22" s="149"/>
    </row>
    <row r="23" spans="1:6" x14ac:dyDescent="0.25">
      <c r="A23" s="9" t="s">
        <v>5</v>
      </c>
      <c r="B23" s="41"/>
      <c r="C23" s="41"/>
      <c r="D23" s="147"/>
      <c r="E23" s="148"/>
      <c r="F23" s="149"/>
    </row>
    <row r="24" spans="1:6" x14ac:dyDescent="0.25">
      <c r="A24" s="9" t="s">
        <v>6</v>
      </c>
      <c r="B24" s="41"/>
      <c r="C24" s="41"/>
      <c r="D24" s="147"/>
      <c r="E24" s="148"/>
      <c r="F24" s="149"/>
    </row>
    <row r="25" spans="1:6" x14ac:dyDescent="0.25">
      <c r="A25" s="9" t="s">
        <v>7</v>
      </c>
      <c r="B25" s="41"/>
      <c r="C25" s="41"/>
      <c r="D25" s="147"/>
      <c r="E25" s="148"/>
      <c r="F25" s="149"/>
    </row>
    <row r="26" spans="1:6" x14ac:dyDescent="0.25">
      <c r="A26" s="9" t="s">
        <v>1</v>
      </c>
      <c r="B26" s="41"/>
      <c r="C26" s="41"/>
      <c r="D26" s="147"/>
      <c r="E26" s="148"/>
      <c r="F26" s="149"/>
    </row>
    <row r="27" spans="1:6" ht="15.75" thickBot="1" x14ac:dyDescent="0.3">
      <c r="A27" s="10" t="s">
        <v>1</v>
      </c>
      <c r="B27" s="42"/>
      <c r="C27" s="42"/>
      <c r="D27" s="150"/>
      <c r="E27" s="151"/>
      <c r="F27" s="152"/>
    </row>
    <row r="28" spans="1:6" s="14" customFormat="1" ht="13.5" thickBot="1" x14ac:dyDescent="0.25">
      <c r="A28" s="138" t="s">
        <v>8</v>
      </c>
      <c r="B28" s="139"/>
      <c r="C28" s="139"/>
      <c r="D28" s="139"/>
      <c r="E28" s="139"/>
      <c r="F28" s="140"/>
    </row>
    <row r="29" spans="1:6" s="3" customFormat="1" ht="18.75" x14ac:dyDescent="0.3">
      <c r="A29" s="8" t="s">
        <v>9</v>
      </c>
      <c r="B29" s="44"/>
      <c r="C29" s="155"/>
      <c r="D29" s="155"/>
      <c r="E29" s="144"/>
      <c r="F29" s="156"/>
    </row>
    <row r="30" spans="1:6" x14ac:dyDescent="0.25">
      <c r="A30" s="9" t="s">
        <v>47</v>
      </c>
      <c r="B30" s="41"/>
      <c r="C30" s="157"/>
      <c r="D30" s="157"/>
      <c r="E30" s="147"/>
      <c r="F30" s="158"/>
    </row>
    <row r="31" spans="1:6" x14ac:dyDescent="0.25">
      <c r="B31" s="41"/>
      <c r="C31" s="157"/>
      <c r="D31" s="157"/>
      <c r="E31" s="147"/>
      <c r="F31" s="158"/>
    </row>
    <row r="32" spans="1:6" x14ac:dyDescent="0.25">
      <c r="A32" s="9"/>
      <c r="B32" s="41"/>
      <c r="C32" s="157"/>
      <c r="D32" s="157"/>
      <c r="E32" s="147"/>
      <c r="F32" s="158"/>
    </row>
    <row r="33" spans="1:8" ht="15.75" thickBot="1" x14ac:dyDescent="0.3">
      <c r="A33" s="10"/>
      <c r="B33" s="42"/>
      <c r="C33" s="159"/>
      <c r="D33" s="159"/>
      <c r="E33" s="150"/>
      <c r="F33" s="160"/>
    </row>
    <row r="34" spans="1:8" ht="12.95" customHeight="1" x14ac:dyDescent="0.25">
      <c r="A34" s="54" t="s">
        <v>19</v>
      </c>
      <c r="B34" s="54"/>
      <c r="C34" s="54"/>
      <c r="D34" s="54"/>
      <c r="E34" s="54"/>
      <c r="F34" s="54"/>
      <c r="G34" s="7"/>
      <c r="H34" s="7"/>
    </row>
    <row r="35" spans="1:8" ht="12.95" customHeight="1" x14ac:dyDescent="0.25">
      <c r="A35" s="7" t="s">
        <v>20</v>
      </c>
      <c r="B35"/>
      <c r="C35"/>
      <c r="D35"/>
      <c r="E35"/>
      <c r="F35"/>
      <c r="G35" s="7"/>
      <c r="H35" s="7"/>
    </row>
    <row r="36" spans="1:8" ht="12.95" customHeight="1" x14ac:dyDescent="0.25">
      <c r="A36" s="153" t="s">
        <v>21</v>
      </c>
      <c r="B36" s="154"/>
      <c r="C36" s="154"/>
      <c r="D36" s="154"/>
      <c r="E36" s="154"/>
      <c r="F36" s="154"/>
      <c r="G36" s="7"/>
      <c r="H36" s="7"/>
    </row>
    <row r="37" spans="1:8" ht="12.95" customHeight="1" x14ac:dyDescent="0.25">
      <c r="A37" s="153" t="s">
        <v>22</v>
      </c>
      <c r="B37" s="154"/>
      <c r="C37" s="154"/>
      <c r="D37" s="154"/>
      <c r="E37" s="154"/>
      <c r="F37" s="154"/>
      <c r="G37" s="7"/>
      <c r="H37" s="7"/>
    </row>
    <row r="38" spans="1:8" ht="12.95" customHeight="1" x14ac:dyDescent="0.25">
      <c r="A38" s="153" t="s">
        <v>23</v>
      </c>
      <c r="B38" s="154"/>
      <c r="C38" s="154"/>
      <c r="D38" s="154"/>
      <c r="E38" s="154"/>
      <c r="F38" s="154"/>
      <c r="G38" s="7"/>
      <c r="H38" s="7"/>
    </row>
    <row r="39" spans="1:8" ht="12.95" customHeight="1" x14ac:dyDescent="0.25">
      <c r="A39" s="153" t="s">
        <v>24</v>
      </c>
      <c r="B39" s="154"/>
      <c r="C39" s="154"/>
      <c r="D39" s="154"/>
      <c r="E39" s="154"/>
      <c r="F39" s="154"/>
      <c r="G39" s="7"/>
      <c r="H39" s="7"/>
    </row>
    <row r="40" spans="1:8" ht="12.95" customHeight="1" x14ac:dyDescent="0.25">
      <c r="A40" s="153" t="s">
        <v>25</v>
      </c>
      <c r="B40" s="154"/>
      <c r="C40" s="154"/>
      <c r="D40" s="154"/>
      <c r="E40" s="154"/>
      <c r="F40" s="154"/>
      <c r="G40" s="7"/>
      <c r="H40" s="7"/>
    </row>
    <row r="41" spans="1:8" ht="12.95" customHeight="1" x14ac:dyDescent="0.25">
      <c r="A41" s="153" t="s">
        <v>26</v>
      </c>
      <c r="B41" s="154"/>
      <c r="C41" s="154"/>
      <c r="D41" s="154"/>
      <c r="E41" s="154"/>
      <c r="F41" s="154"/>
      <c r="G41" s="7"/>
      <c r="H41" s="7"/>
    </row>
    <row r="42" spans="1:8" ht="12.95" customHeight="1" x14ac:dyDescent="0.25">
      <c r="A42" s="153" t="s">
        <v>27</v>
      </c>
      <c r="B42" s="154"/>
      <c r="C42" s="154"/>
      <c r="D42" s="154"/>
      <c r="E42" s="154"/>
      <c r="F42" s="154"/>
      <c r="G42" s="7"/>
      <c r="H42" s="7"/>
    </row>
    <row r="43" spans="1:8" ht="12.95" customHeight="1" x14ac:dyDescent="0.25">
      <c r="A43" s="153" t="s">
        <v>28</v>
      </c>
      <c r="B43" s="154"/>
      <c r="C43" s="154"/>
      <c r="D43" s="154"/>
      <c r="E43" s="154"/>
      <c r="F43" s="154"/>
      <c r="G43" s="7"/>
      <c r="H43" s="7"/>
    </row>
    <row r="44" spans="1:8" ht="12.95" customHeight="1" x14ac:dyDescent="0.25">
      <c r="A44" s="153" t="s">
        <v>29</v>
      </c>
      <c r="B44" s="154"/>
      <c r="C44" s="154"/>
      <c r="D44" s="154"/>
      <c r="E44" s="154"/>
      <c r="F44" s="154"/>
      <c r="G44" s="7"/>
      <c r="H44" s="7"/>
    </row>
    <row r="45" spans="1:8" ht="12.95" customHeight="1" x14ac:dyDescent="0.25">
      <c r="A45" s="153" t="s">
        <v>30</v>
      </c>
      <c r="B45" s="154"/>
      <c r="C45" s="154"/>
      <c r="D45" s="154"/>
      <c r="E45" s="154"/>
      <c r="F45" s="154"/>
      <c r="G45" s="7"/>
      <c r="H45" s="7"/>
    </row>
    <row r="46" spans="1:8" ht="12.95" customHeight="1" x14ac:dyDescent="0.25">
      <c r="A46" s="153" t="s">
        <v>31</v>
      </c>
      <c r="B46" s="154"/>
      <c r="C46" s="154"/>
      <c r="D46" s="154"/>
      <c r="E46" s="154"/>
      <c r="F46" s="154"/>
      <c r="G46" s="7"/>
      <c r="H46" s="7"/>
    </row>
    <row r="47" spans="1:8" ht="12.95" customHeight="1" x14ac:dyDescent="0.25">
      <c r="A47" s="153" t="s">
        <v>32</v>
      </c>
      <c r="B47" s="154"/>
      <c r="C47" s="154"/>
      <c r="D47" s="154"/>
      <c r="E47" s="154"/>
      <c r="F47" s="154"/>
      <c r="G47" s="7"/>
      <c r="H47" s="7"/>
    </row>
    <row r="48" spans="1:8" ht="12.95" customHeight="1" x14ac:dyDescent="0.25">
      <c r="A48" s="153" t="s">
        <v>33</v>
      </c>
      <c r="B48" s="154"/>
      <c r="C48" s="154"/>
      <c r="D48" s="154"/>
      <c r="E48" s="154"/>
      <c r="F48" s="154"/>
      <c r="G48" s="7"/>
      <c r="H48" s="7"/>
    </row>
    <row r="49" spans="1:8" ht="12.95" customHeight="1" x14ac:dyDescent="0.25">
      <c r="A49" s="163" t="s">
        <v>212</v>
      </c>
      <c r="B49" s="163"/>
      <c r="C49" s="163"/>
      <c r="D49" s="163"/>
      <c r="E49" s="163"/>
      <c r="F49" s="163"/>
      <c r="G49" s="7"/>
      <c r="H49" s="7"/>
    </row>
    <row r="50" spans="1:8" ht="12.95" customHeight="1" x14ac:dyDescent="0.25">
      <c r="A50" s="153" t="s">
        <v>34</v>
      </c>
      <c r="B50" s="154"/>
      <c r="C50" s="154"/>
      <c r="D50" s="154"/>
      <c r="E50" s="154"/>
      <c r="F50" s="154"/>
      <c r="G50" s="7"/>
      <c r="H50" s="7"/>
    </row>
    <row r="51" spans="1:8" ht="12.95" customHeight="1" x14ac:dyDescent="0.25"/>
    <row r="52" spans="1:8" ht="12.95" customHeight="1" x14ac:dyDescent="0.25"/>
    <row r="53" spans="1:8" ht="12.95" customHeight="1" x14ac:dyDescent="0.25"/>
    <row r="54" spans="1:8" ht="12.95" customHeight="1" x14ac:dyDescent="0.25">
      <c r="A54" s="161" t="str">
        <f>B4</f>
        <v>STEEF ALEXIS HERNANDEZ VAZQUEZ</v>
      </c>
      <c r="B54" s="161"/>
      <c r="C54" s="161"/>
      <c r="D54" s="161"/>
      <c r="E54" s="161"/>
      <c r="F54" s="161"/>
    </row>
    <row r="55" spans="1:8" ht="3" customHeight="1" x14ac:dyDescent="0.25">
      <c r="A55" s="161" t="s">
        <v>213</v>
      </c>
      <c r="B55" s="161"/>
      <c r="C55" s="161"/>
      <c r="D55" s="161"/>
      <c r="E55" s="161"/>
      <c r="F55" s="161"/>
    </row>
    <row r="56" spans="1:8" ht="12.95" customHeight="1" x14ac:dyDescent="0.25">
      <c r="A56" s="162" t="s">
        <v>35</v>
      </c>
      <c r="B56" s="162"/>
      <c r="C56" s="162"/>
      <c r="D56" s="162"/>
      <c r="E56" s="162"/>
      <c r="F56" s="162"/>
    </row>
  </sheetData>
  <mergeCells count="41">
    <mergeCell ref="A49:F49"/>
    <mergeCell ref="A54:F54"/>
    <mergeCell ref="A43:F43"/>
    <mergeCell ref="A44:F44"/>
    <mergeCell ref="A45:F45"/>
    <mergeCell ref="A46:F46"/>
    <mergeCell ref="A47:F47"/>
    <mergeCell ref="A48:F48"/>
    <mergeCell ref="A50:F50"/>
    <mergeCell ref="D24:F24"/>
    <mergeCell ref="D25:F25"/>
    <mergeCell ref="D26:F26"/>
    <mergeCell ref="D27:F27"/>
    <mergeCell ref="A42:F42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1:F41"/>
    <mergeCell ref="A55:F55"/>
    <mergeCell ref="A56:F56"/>
    <mergeCell ref="F12:F15"/>
    <mergeCell ref="A1:F1"/>
    <mergeCell ref="A2:F2"/>
    <mergeCell ref="B4:D4"/>
    <mergeCell ref="D8:E8"/>
    <mergeCell ref="A10:F10"/>
    <mergeCell ref="A28:F28"/>
    <mergeCell ref="B17:F17"/>
    <mergeCell ref="A18:F18"/>
    <mergeCell ref="D19:F19"/>
    <mergeCell ref="D20:F20"/>
    <mergeCell ref="D21:F21"/>
    <mergeCell ref="D22:F22"/>
    <mergeCell ref="D23:F23"/>
  </mergeCells>
  <printOptions horizontalCentered="1"/>
  <pageMargins left="0" right="0" top="0" bottom="0" header="0.31496062992125984" footer="0.31496062992125984"/>
  <pageSetup scale="8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USUARIOS!$B$4:$B$56</xm:f>
          </x14:formula1>
          <xm:sqref>B4:D4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4:XFC56"/>
  <sheetViews>
    <sheetView workbookViewId="0">
      <selection activeCell="B41" sqref="B41"/>
    </sheetView>
  </sheetViews>
  <sheetFormatPr baseColWidth="10" defaultRowHeight="15" x14ac:dyDescent="0.25"/>
  <cols>
    <col min="2" max="2" width="41.7109375" customWidth="1"/>
  </cols>
  <sheetData>
    <row r="4" spans="2:2" x14ac:dyDescent="0.25">
      <c r="B4" t="s">
        <v>341</v>
      </c>
    </row>
    <row r="5" spans="2:2" x14ac:dyDescent="0.25">
      <c r="B5" t="s">
        <v>389</v>
      </c>
    </row>
    <row r="6" spans="2:2" x14ac:dyDescent="0.25">
      <c r="B6" t="s">
        <v>405</v>
      </c>
    </row>
    <row r="7" spans="2:2" x14ac:dyDescent="0.25">
      <c r="B7" t="s">
        <v>380</v>
      </c>
    </row>
    <row r="8" spans="2:2" x14ac:dyDescent="0.25">
      <c r="B8" t="s">
        <v>402</v>
      </c>
    </row>
    <row r="9" spans="2:2" x14ac:dyDescent="0.25">
      <c r="B9" t="s">
        <v>235</v>
      </c>
    </row>
    <row r="10" spans="2:2" x14ac:dyDescent="0.25">
      <c r="B10" t="s">
        <v>180</v>
      </c>
    </row>
    <row r="11" spans="2:2" x14ac:dyDescent="0.25">
      <c r="B11" t="s">
        <v>219</v>
      </c>
    </row>
    <row r="12" spans="2:2" x14ac:dyDescent="0.25">
      <c r="B12" t="s">
        <v>415</v>
      </c>
    </row>
    <row r="13" spans="2:2" x14ac:dyDescent="0.25">
      <c r="B13" t="s">
        <v>364</v>
      </c>
    </row>
    <row r="14" spans="2:2" x14ac:dyDescent="0.25">
      <c r="B14" t="s">
        <v>246</v>
      </c>
    </row>
    <row r="15" spans="2:2" x14ac:dyDescent="0.25">
      <c r="B15" t="s">
        <v>207</v>
      </c>
    </row>
    <row r="16" spans="2:2" x14ac:dyDescent="0.25">
      <c r="B16" t="s">
        <v>392</v>
      </c>
    </row>
    <row r="17" spans="2:4" x14ac:dyDescent="0.25">
      <c r="B17" t="s">
        <v>375</v>
      </c>
      <c r="D17" t="s">
        <v>374</v>
      </c>
    </row>
    <row r="18" spans="2:4" x14ac:dyDescent="0.25">
      <c r="B18" t="s">
        <v>323</v>
      </c>
    </row>
    <row r="19" spans="2:4" ht="15.75" customHeight="1" x14ac:dyDescent="0.25">
      <c r="B19" t="s">
        <v>349</v>
      </c>
    </row>
    <row r="20" spans="2:4" ht="15.75" customHeight="1" x14ac:dyDescent="0.25">
      <c r="B20" t="s">
        <v>345</v>
      </c>
    </row>
    <row r="21" spans="2:4" ht="15.75" customHeight="1" x14ac:dyDescent="0.25">
      <c r="B21" t="s">
        <v>343</v>
      </c>
    </row>
    <row r="22" spans="2:4" ht="15.75" customHeight="1" x14ac:dyDescent="0.25">
      <c r="B22" t="s">
        <v>331</v>
      </c>
    </row>
    <row r="23" spans="2:4" x14ac:dyDescent="0.25">
      <c r="B23" t="s">
        <v>63</v>
      </c>
    </row>
    <row r="24" spans="2:4" x14ac:dyDescent="0.25">
      <c r="B24" t="s">
        <v>309</v>
      </c>
    </row>
    <row r="25" spans="2:4" x14ac:dyDescent="0.25">
      <c r="B25" t="s">
        <v>373</v>
      </c>
      <c r="D25" t="s">
        <v>374</v>
      </c>
    </row>
    <row r="26" spans="2:4" x14ac:dyDescent="0.25">
      <c r="B26" t="s">
        <v>357</v>
      </c>
    </row>
    <row r="27" spans="2:4" x14ac:dyDescent="0.25">
      <c r="B27" t="s">
        <v>328</v>
      </c>
    </row>
    <row r="28" spans="2:4" x14ac:dyDescent="0.25">
      <c r="B28" t="s">
        <v>383</v>
      </c>
    </row>
    <row r="29" spans="2:4" x14ac:dyDescent="0.25">
      <c r="B29" t="s">
        <v>412</v>
      </c>
    </row>
    <row r="30" spans="2:4" x14ac:dyDescent="0.25">
      <c r="B30" t="s">
        <v>336</v>
      </c>
    </row>
    <row r="31" spans="2:4" x14ac:dyDescent="0.25">
      <c r="B31" t="s">
        <v>378</v>
      </c>
      <c r="D31" t="s">
        <v>379</v>
      </c>
    </row>
    <row r="32" spans="2:4" x14ac:dyDescent="0.25">
      <c r="B32" t="s">
        <v>303</v>
      </c>
    </row>
    <row r="33" spans="1:1023 1025:2047 2049:3071 3073:4095 4097:5119 5121:6143 6145:7167 7169:8191 8193:9215 9217:10239 10241:11263 11265:12287 12289:13311 13313:14335 14337:15359 15361:16383" x14ac:dyDescent="0.25">
      <c r="B33" t="s">
        <v>355</v>
      </c>
    </row>
    <row r="34" spans="1:1023 1025:2047 2049:3071 3073:4095 4097:5119 5121:6143 6145:7167 7169:8191 8193:9215 9217:10239 10241:11263 11265:12287 12289:13311 13313:14335 14337:15359 15361:16383" x14ac:dyDescent="0.25">
      <c r="B34" t="s">
        <v>312</v>
      </c>
    </row>
    <row r="35" spans="1:1023 1025:2047 2049:3071 3073:4095 4097:5119 5121:6143 6145:7167 7169:8191 8193:9215 9217:10239 10241:11263 11265:12287 12289:13311 13313:14335 14337:15359 15361:16383" x14ac:dyDescent="0.25">
      <c r="B35" t="s">
        <v>403</v>
      </c>
    </row>
    <row r="36" spans="1:1023 1025:2047 2049:3071 3073:4095 4097:5119 5121:6143 6145:7167 7169:8191 8193:9215 9217:10239 10241:11263 11265:12287 12289:13311 13313:14335 14337:15359 15361:16383" x14ac:dyDescent="0.25">
      <c r="B36" t="s">
        <v>376</v>
      </c>
      <c r="D36" t="s">
        <v>377</v>
      </c>
    </row>
    <row r="37" spans="1:1023 1025:2047 2049:3071 3073:4095 4097:5119 5121:6143 6145:7167 7169:8191 8193:9215 9217:10239 10241:11263 11265:12287 12289:13311 13313:14335 14337:15359 15361:16383" x14ac:dyDescent="0.25">
      <c r="B37" t="s">
        <v>319</v>
      </c>
    </row>
    <row r="38" spans="1:1023 1025:2047 2049:3071 3073:4095 4097:5119 5121:6143 6145:7167 7169:8191 8193:9215 9217:10239 10241:11263 11265:12287 12289:13311 13313:14335 14337:15359 15361:16383" x14ac:dyDescent="0.25">
      <c r="B38" t="s">
        <v>370</v>
      </c>
      <c r="D38" t="s">
        <v>371</v>
      </c>
    </row>
    <row r="39" spans="1:1023 1025:2047 2049:3071 3073:4095 4097:5119 5121:6143 6145:7167 7169:8191 8193:9215 9217:10239 10241:11263 11265:12287 12289:13311 13313:14335 14337:15359 15361:16383" x14ac:dyDescent="0.25">
      <c r="B39" t="s">
        <v>358</v>
      </c>
      <c r="D39" t="s">
        <v>372</v>
      </c>
    </row>
    <row r="40" spans="1:1023 1025:2047 2049:3071 3073:4095 4097:5119 5121:6143 6145:7167 7169:8191 8193:9215 9217:10239 10241:11263 11265:12287 12289:13311 13313:14335 14337:15359 15361:16383" x14ac:dyDescent="0.25">
      <c r="B40" t="s">
        <v>361</v>
      </c>
    </row>
    <row r="41" spans="1:1023 1025:2047 2049:3071 3073:4095 4097:5119 5121:6143 6145:7167 7169:8191 8193:9215 9217:10239 10241:11263 11265:12287 12289:13311 13313:14335 14337:15359 15361:16383" x14ac:dyDescent="0.25">
      <c r="B41" t="s">
        <v>304</v>
      </c>
    </row>
    <row r="42" spans="1:1023 1025:2047 2049:3071 3073:4095 4097:5119 5121:6143 6145:7167 7169:8191 8193:9215 9217:10239 10241:11263 11265:12287 12289:13311 13313:14335 14337:15359 15361:16383" x14ac:dyDescent="0.25">
      <c r="B42" t="s">
        <v>325</v>
      </c>
    </row>
    <row r="43" spans="1:1023 1025:2047 2049:3071 3073:4095 4097:5119 5121:6143 6145:7167 7169:8191 8193:9215 9217:10239 10241:11263 11265:12287 12289:13311 13313:14335 14337:15359 15361:16383" x14ac:dyDescent="0.25">
      <c r="B43" t="s">
        <v>72</v>
      </c>
    </row>
    <row r="44" spans="1:1023 1025:2047 2049:3071 3073:4095 4097:5119 5121:6143 6145:7167 7169:8191 8193:9215 9217:10239 10241:11263 11265:12287 12289:13311 13313:14335 14337:15359 15361:16383" x14ac:dyDescent="0.25">
      <c r="B44" t="s">
        <v>271</v>
      </c>
    </row>
    <row r="45" spans="1:1023 1025:2047 2049:3071 3073:4095 4097:5119 5121:6143 6145:7167 7169:8191 8193:9215 9217:10239 10241:11263 11265:12287 12289:13311 13313:14335 14337:15359 15361:16383" x14ac:dyDescent="0.25">
      <c r="B45" t="s">
        <v>335</v>
      </c>
    </row>
    <row r="46" spans="1:1023 1025:2047 2049:3071 3073:4095 4097:5119 5121:6143 6145:7167 7169:8191 8193:9215 9217:10239 10241:11263 11265:12287 12289:13311 13313:14335 14337:15359 15361:16383" s="67" customFormat="1" x14ac:dyDescent="0.25">
      <c r="A46"/>
      <c r="B46" s="111" t="s">
        <v>366</v>
      </c>
      <c r="C46" s="110"/>
      <c r="E46"/>
      <c r="G46" s="110"/>
      <c r="I46"/>
      <c r="K46" s="110"/>
      <c r="M46"/>
      <c r="O46" s="110"/>
      <c r="Q46"/>
      <c r="S46" s="110"/>
      <c r="U46"/>
      <c r="W46" s="110"/>
      <c r="Y46"/>
      <c r="AA46" s="110"/>
      <c r="AC46"/>
      <c r="AE46" s="110"/>
      <c r="AG46"/>
      <c r="AI46" s="110"/>
      <c r="AK46"/>
      <c r="AM46" s="110"/>
      <c r="AO46"/>
      <c r="AQ46" s="110"/>
      <c r="AS46"/>
      <c r="AU46" s="110"/>
      <c r="AW46"/>
      <c r="AY46" s="110"/>
      <c r="BA46"/>
      <c r="BC46" s="110"/>
      <c r="BE46"/>
      <c r="BG46" s="110"/>
      <c r="BI46"/>
      <c r="BK46" s="110"/>
      <c r="BM46"/>
      <c r="BO46" s="110"/>
      <c r="BQ46"/>
      <c r="BS46" s="110"/>
      <c r="BU46"/>
      <c r="BW46" s="110"/>
      <c r="BY46"/>
      <c r="CA46" s="110"/>
      <c r="CC46"/>
      <c r="CE46" s="110"/>
      <c r="CG46"/>
      <c r="CI46" s="110"/>
      <c r="CK46"/>
      <c r="CM46" s="110"/>
      <c r="CO46"/>
      <c r="CQ46" s="110"/>
      <c r="CS46"/>
      <c r="CU46" s="110"/>
      <c r="CW46"/>
      <c r="CY46" s="110"/>
      <c r="DA46"/>
      <c r="DC46" s="110"/>
      <c r="DE46"/>
      <c r="DG46" s="110"/>
      <c r="DI46"/>
      <c r="DK46" s="110"/>
      <c r="DM46"/>
      <c r="DO46" s="110"/>
      <c r="DQ46"/>
      <c r="DS46" s="110"/>
      <c r="DU46"/>
      <c r="DW46" s="110"/>
      <c r="DY46"/>
      <c r="EA46" s="110"/>
      <c r="EC46"/>
      <c r="EE46" s="110"/>
      <c r="EG46"/>
      <c r="EI46" s="110"/>
      <c r="EK46"/>
      <c r="EM46" s="110"/>
      <c r="EO46"/>
      <c r="EQ46" s="110"/>
      <c r="ES46"/>
      <c r="EU46" s="110"/>
      <c r="EW46"/>
      <c r="EY46" s="110"/>
      <c r="FA46"/>
      <c r="FC46" s="110"/>
      <c r="FE46"/>
      <c r="FG46" s="110"/>
      <c r="FI46"/>
      <c r="FK46" s="110"/>
      <c r="FM46"/>
      <c r="FO46" s="110"/>
      <c r="FQ46"/>
      <c r="FS46" s="110"/>
      <c r="FU46"/>
      <c r="FW46" s="110"/>
      <c r="FY46"/>
      <c r="GA46" s="110"/>
      <c r="GC46"/>
      <c r="GE46" s="110"/>
      <c r="GG46"/>
      <c r="GI46" s="110"/>
      <c r="GK46"/>
      <c r="GM46" s="110"/>
      <c r="GO46"/>
      <c r="GQ46" s="110"/>
      <c r="GS46"/>
      <c r="GU46" s="110"/>
      <c r="GW46"/>
      <c r="GY46" s="110"/>
      <c r="HA46"/>
      <c r="HC46" s="110"/>
      <c r="HE46"/>
      <c r="HG46" s="110"/>
      <c r="HI46"/>
      <c r="HK46" s="110"/>
      <c r="HM46"/>
      <c r="HO46" s="110"/>
      <c r="HQ46"/>
      <c r="HS46" s="110"/>
      <c r="HU46"/>
      <c r="HW46" s="110"/>
      <c r="HY46"/>
      <c r="IA46" s="110"/>
      <c r="IC46"/>
      <c r="IE46" s="110"/>
      <c r="IG46"/>
      <c r="II46" s="110"/>
      <c r="IK46"/>
      <c r="IM46" s="110"/>
      <c r="IO46"/>
      <c r="IQ46" s="110"/>
      <c r="IS46"/>
      <c r="IU46" s="110"/>
      <c r="IW46"/>
      <c r="IY46" s="110"/>
      <c r="JA46"/>
      <c r="JC46" s="110"/>
      <c r="JE46"/>
      <c r="JG46" s="110"/>
      <c r="JI46"/>
      <c r="JK46" s="110"/>
      <c r="JM46"/>
      <c r="JO46" s="110"/>
      <c r="JQ46"/>
      <c r="JS46" s="110"/>
      <c r="JU46"/>
      <c r="JW46" s="110"/>
      <c r="JY46"/>
      <c r="KA46" s="110"/>
      <c r="KC46"/>
      <c r="KE46" s="110"/>
      <c r="KG46"/>
      <c r="KI46" s="110"/>
      <c r="KK46"/>
      <c r="KM46" s="110"/>
      <c r="KO46"/>
      <c r="KQ46" s="110"/>
      <c r="KS46"/>
      <c r="KU46" s="110"/>
      <c r="KW46"/>
      <c r="KY46" s="110"/>
      <c r="LA46"/>
      <c r="LC46" s="110"/>
      <c r="LE46"/>
      <c r="LG46" s="110"/>
      <c r="LI46"/>
      <c r="LK46" s="110"/>
      <c r="LM46"/>
      <c r="LO46" s="110"/>
      <c r="LQ46"/>
      <c r="LS46" s="110"/>
      <c r="LU46"/>
      <c r="LW46" s="110"/>
      <c r="LY46"/>
      <c r="MA46" s="110"/>
      <c r="MC46"/>
      <c r="ME46" s="110"/>
      <c r="MG46"/>
      <c r="MI46" s="110"/>
      <c r="MK46"/>
      <c r="MM46" s="110"/>
      <c r="MO46"/>
      <c r="MQ46" s="110"/>
      <c r="MS46"/>
      <c r="MU46" s="110"/>
      <c r="MW46"/>
      <c r="MY46" s="110"/>
      <c r="NA46"/>
      <c r="NC46" s="110"/>
      <c r="NE46"/>
      <c r="NG46" s="110"/>
      <c r="NI46"/>
      <c r="NK46" s="110"/>
      <c r="NM46"/>
      <c r="NO46" s="110"/>
      <c r="NQ46"/>
      <c r="NS46" s="110"/>
      <c r="NU46"/>
      <c r="NW46" s="110"/>
      <c r="NY46"/>
      <c r="OA46" s="110"/>
      <c r="OC46"/>
      <c r="OE46" s="110"/>
      <c r="OG46"/>
      <c r="OI46" s="110"/>
      <c r="OK46"/>
      <c r="OM46" s="110"/>
      <c r="OO46"/>
      <c r="OQ46" s="110"/>
      <c r="OS46"/>
      <c r="OU46" s="110"/>
      <c r="OW46"/>
      <c r="OY46" s="110"/>
      <c r="PA46"/>
      <c r="PC46" s="110"/>
      <c r="PE46"/>
      <c r="PG46" s="110"/>
      <c r="PI46"/>
      <c r="PK46" s="110"/>
      <c r="PM46"/>
      <c r="PO46" s="110"/>
      <c r="PQ46"/>
      <c r="PS46" s="110"/>
      <c r="PU46"/>
      <c r="PW46" s="110"/>
      <c r="PY46"/>
      <c r="QA46" s="110"/>
      <c r="QC46"/>
      <c r="QE46" s="110"/>
      <c r="QG46"/>
      <c r="QI46" s="110"/>
      <c r="QK46"/>
      <c r="QM46" s="110"/>
      <c r="QO46"/>
      <c r="QQ46" s="110"/>
      <c r="QS46"/>
      <c r="QU46" s="110"/>
      <c r="QW46"/>
      <c r="QY46" s="110"/>
      <c r="RA46"/>
      <c r="RC46" s="110"/>
      <c r="RE46"/>
      <c r="RG46" s="110"/>
      <c r="RI46"/>
      <c r="RK46" s="110"/>
      <c r="RM46"/>
      <c r="RO46" s="110"/>
      <c r="RQ46"/>
      <c r="RS46" s="110"/>
      <c r="RU46"/>
      <c r="RW46" s="110"/>
      <c r="RY46"/>
      <c r="SA46" s="110"/>
      <c r="SC46"/>
      <c r="SE46" s="110"/>
      <c r="SG46"/>
      <c r="SI46" s="110"/>
      <c r="SK46"/>
      <c r="SM46" s="110"/>
      <c r="SO46"/>
      <c r="SQ46" s="110"/>
      <c r="SS46"/>
      <c r="SU46" s="110"/>
      <c r="SW46"/>
      <c r="SY46" s="110"/>
      <c r="TA46"/>
      <c r="TC46" s="110"/>
      <c r="TE46"/>
      <c r="TG46" s="110"/>
      <c r="TI46"/>
      <c r="TK46" s="110"/>
      <c r="TM46"/>
      <c r="TO46" s="110"/>
      <c r="TQ46"/>
      <c r="TS46" s="110"/>
      <c r="TU46"/>
      <c r="TW46" s="110"/>
      <c r="TY46"/>
      <c r="UA46" s="110"/>
      <c r="UC46"/>
      <c r="UE46" s="110"/>
      <c r="UG46"/>
      <c r="UI46" s="110"/>
      <c r="UK46"/>
      <c r="UM46" s="110"/>
      <c r="UO46"/>
      <c r="UQ46" s="110"/>
      <c r="US46"/>
      <c r="UU46" s="110"/>
      <c r="UW46"/>
      <c r="UY46" s="110"/>
      <c r="VA46"/>
      <c r="VC46" s="110"/>
      <c r="VE46"/>
      <c r="VG46" s="110"/>
      <c r="VI46"/>
      <c r="VK46" s="110"/>
      <c r="VM46"/>
      <c r="VO46" s="110"/>
      <c r="VQ46"/>
      <c r="VS46" s="110"/>
      <c r="VU46"/>
      <c r="VW46" s="110"/>
      <c r="VY46"/>
      <c r="WA46" s="110"/>
      <c r="WC46"/>
      <c r="WE46" s="110"/>
      <c r="WG46"/>
      <c r="WI46" s="110"/>
      <c r="WK46"/>
      <c r="WM46" s="110"/>
      <c r="WO46"/>
      <c r="WQ46" s="110"/>
      <c r="WS46"/>
      <c r="WU46" s="110"/>
      <c r="WW46"/>
      <c r="WY46" s="110"/>
      <c r="XA46"/>
      <c r="XC46" s="110"/>
      <c r="XE46"/>
      <c r="XG46" s="110"/>
      <c r="XI46"/>
      <c r="XK46" s="110"/>
      <c r="XM46"/>
      <c r="XO46" s="110"/>
      <c r="XQ46"/>
      <c r="XS46" s="110"/>
      <c r="XU46"/>
      <c r="XW46" s="110"/>
      <c r="XY46"/>
      <c r="YA46" s="110"/>
      <c r="YC46"/>
      <c r="YE46" s="110"/>
      <c r="YG46"/>
      <c r="YI46" s="110"/>
      <c r="YK46"/>
      <c r="YM46" s="110"/>
      <c r="YO46"/>
      <c r="YQ46" s="110"/>
      <c r="YS46"/>
      <c r="YU46" s="110"/>
      <c r="YW46"/>
      <c r="YY46" s="110"/>
      <c r="ZA46"/>
      <c r="ZC46" s="110"/>
      <c r="ZE46"/>
      <c r="ZG46" s="110"/>
      <c r="ZI46"/>
      <c r="ZK46" s="110"/>
      <c r="ZM46"/>
      <c r="ZO46" s="110"/>
      <c r="ZQ46"/>
      <c r="ZS46" s="110"/>
      <c r="ZU46"/>
      <c r="ZW46" s="110"/>
      <c r="ZY46"/>
      <c r="AAA46" s="110"/>
      <c r="AAC46"/>
      <c r="AAE46" s="110"/>
      <c r="AAG46"/>
      <c r="AAI46" s="110"/>
      <c r="AAK46"/>
      <c r="AAM46" s="110"/>
      <c r="AAO46"/>
      <c r="AAQ46" s="110"/>
      <c r="AAS46"/>
      <c r="AAU46" s="110"/>
      <c r="AAW46"/>
      <c r="AAY46" s="110"/>
      <c r="ABA46"/>
      <c r="ABC46" s="110"/>
      <c r="ABE46"/>
      <c r="ABG46" s="110"/>
      <c r="ABI46"/>
      <c r="ABK46" s="110"/>
      <c r="ABM46"/>
      <c r="ABO46" s="110"/>
      <c r="ABQ46"/>
      <c r="ABS46" s="110"/>
      <c r="ABU46"/>
      <c r="ABW46" s="110"/>
      <c r="ABY46"/>
      <c r="ACA46" s="110"/>
      <c r="ACC46"/>
      <c r="ACE46" s="110"/>
      <c r="ACG46"/>
      <c r="ACI46" s="110"/>
      <c r="ACK46"/>
      <c r="ACM46" s="110"/>
      <c r="ACO46"/>
      <c r="ACQ46" s="110"/>
      <c r="ACS46"/>
      <c r="ACU46" s="110"/>
      <c r="ACW46"/>
      <c r="ACY46" s="110"/>
      <c r="ADA46"/>
      <c r="ADC46" s="110"/>
      <c r="ADE46"/>
      <c r="ADG46" s="110"/>
      <c r="ADI46"/>
      <c r="ADK46" s="110"/>
      <c r="ADM46"/>
      <c r="ADO46" s="110"/>
      <c r="ADQ46"/>
      <c r="ADS46" s="110"/>
      <c r="ADU46"/>
      <c r="ADW46" s="110"/>
      <c r="ADY46"/>
      <c r="AEA46" s="110"/>
      <c r="AEC46"/>
      <c r="AEE46" s="110"/>
      <c r="AEG46"/>
      <c r="AEI46" s="110"/>
      <c r="AEK46"/>
      <c r="AEM46" s="110"/>
      <c r="AEO46"/>
      <c r="AEQ46" s="110"/>
      <c r="AES46"/>
      <c r="AEU46" s="110"/>
      <c r="AEW46"/>
      <c r="AEY46" s="110"/>
      <c r="AFA46"/>
      <c r="AFC46" s="110"/>
      <c r="AFE46"/>
      <c r="AFG46" s="110"/>
      <c r="AFI46"/>
      <c r="AFK46" s="110"/>
      <c r="AFM46"/>
      <c r="AFO46" s="110"/>
      <c r="AFQ46"/>
      <c r="AFS46" s="110"/>
      <c r="AFU46"/>
      <c r="AFW46" s="110"/>
      <c r="AFY46"/>
      <c r="AGA46" s="110"/>
      <c r="AGC46"/>
      <c r="AGE46" s="110"/>
      <c r="AGG46"/>
      <c r="AGI46" s="110"/>
      <c r="AGK46"/>
      <c r="AGM46" s="110"/>
      <c r="AGO46"/>
      <c r="AGQ46" s="110"/>
      <c r="AGS46"/>
      <c r="AGU46" s="110"/>
      <c r="AGW46"/>
      <c r="AGY46" s="110"/>
      <c r="AHA46"/>
      <c r="AHC46" s="110"/>
      <c r="AHE46"/>
      <c r="AHG46" s="110"/>
      <c r="AHI46"/>
      <c r="AHK46" s="110"/>
      <c r="AHM46"/>
      <c r="AHO46" s="110"/>
      <c r="AHQ46"/>
      <c r="AHS46" s="110"/>
      <c r="AHU46"/>
      <c r="AHW46" s="110"/>
      <c r="AHY46"/>
      <c r="AIA46" s="110"/>
      <c r="AIC46"/>
      <c r="AIE46" s="110"/>
      <c r="AIG46"/>
      <c r="AII46" s="110"/>
      <c r="AIK46"/>
      <c r="AIM46" s="110"/>
      <c r="AIO46"/>
      <c r="AIQ46" s="110"/>
      <c r="AIS46"/>
      <c r="AIU46" s="110"/>
      <c r="AIW46"/>
      <c r="AIY46" s="110"/>
      <c r="AJA46"/>
      <c r="AJC46" s="110"/>
      <c r="AJE46"/>
      <c r="AJG46" s="110"/>
      <c r="AJI46"/>
      <c r="AJK46" s="110"/>
      <c r="AJM46"/>
      <c r="AJO46" s="110"/>
      <c r="AJQ46"/>
      <c r="AJS46" s="110"/>
      <c r="AJU46"/>
      <c r="AJW46" s="110"/>
      <c r="AJY46"/>
      <c r="AKA46" s="110"/>
      <c r="AKC46"/>
      <c r="AKE46" s="110"/>
      <c r="AKG46"/>
      <c r="AKI46" s="110"/>
      <c r="AKK46"/>
      <c r="AKM46" s="110"/>
      <c r="AKO46"/>
      <c r="AKQ46" s="110"/>
      <c r="AKS46"/>
      <c r="AKU46" s="110"/>
      <c r="AKW46"/>
      <c r="AKY46" s="110"/>
      <c r="ALA46"/>
      <c r="ALC46" s="110"/>
      <c r="ALE46"/>
      <c r="ALG46" s="110"/>
      <c r="ALI46"/>
      <c r="ALK46" s="110"/>
      <c r="ALM46"/>
      <c r="ALO46" s="110"/>
      <c r="ALQ46"/>
      <c r="ALS46" s="110"/>
      <c r="ALU46"/>
      <c r="ALW46" s="110"/>
      <c r="ALY46"/>
      <c r="AMA46" s="110"/>
      <c r="AMC46"/>
      <c r="AME46" s="110"/>
      <c r="AMG46"/>
      <c r="AMI46" s="110"/>
      <c r="AMK46"/>
      <c r="AMM46" s="110"/>
      <c r="AMO46"/>
      <c r="AMQ46" s="110"/>
      <c r="AMS46"/>
      <c r="AMU46" s="110"/>
      <c r="AMW46"/>
      <c r="AMY46" s="110"/>
      <c r="ANA46"/>
      <c r="ANC46" s="110"/>
      <c r="ANE46"/>
      <c r="ANG46" s="110"/>
      <c r="ANI46"/>
      <c r="ANK46" s="110"/>
      <c r="ANM46"/>
      <c r="ANO46" s="110"/>
      <c r="ANQ46"/>
      <c r="ANS46" s="110"/>
      <c r="ANU46"/>
      <c r="ANW46" s="110"/>
      <c r="ANY46"/>
      <c r="AOA46" s="110"/>
      <c r="AOC46"/>
      <c r="AOE46" s="110"/>
      <c r="AOG46"/>
      <c r="AOI46" s="110"/>
      <c r="AOK46"/>
      <c r="AOM46" s="110"/>
      <c r="AOO46"/>
      <c r="AOQ46" s="110"/>
      <c r="AOS46"/>
      <c r="AOU46" s="110"/>
      <c r="AOW46"/>
      <c r="AOY46" s="110"/>
      <c r="APA46"/>
      <c r="APC46" s="110"/>
      <c r="APE46"/>
      <c r="APG46" s="110"/>
      <c r="API46"/>
      <c r="APK46" s="110"/>
      <c r="APM46"/>
      <c r="APO46" s="110"/>
      <c r="APQ46"/>
      <c r="APS46" s="110"/>
      <c r="APU46"/>
      <c r="APW46" s="110"/>
      <c r="APY46"/>
      <c r="AQA46" s="110"/>
      <c r="AQC46"/>
      <c r="AQE46" s="110"/>
      <c r="AQG46"/>
      <c r="AQI46" s="110"/>
      <c r="AQK46"/>
      <c r="AQM46" s="110"/>
      <c r="AQO46"/>
      <c r="AQQ46" s="110"/>
      <c r="AQS46"/>
      <c r="AQU46" s="110"/>
      <c r="AQW46"/>
      <c r="AQY46" s="110"/>
      <c r="ARA46"/>
      <c r="ARC46" s="110"/>
      <c r="ARE46"/>
      <c r="ARG46" s="110"/>
      <c r="ARI46"/>
      <c r="ARK46" s="110"/>
      <c r="ARM46"/>
      <c r="ARO46" s="110"/>
      <c r="ARQ46"/>
      <c r="ARS46" s="110"/>
      <c r="ARU46"/>
      <c r="ARW46" s="110"/>
      <c r="ARY46"/>
      <c r="ASA46" s="110"/>
      <c r="ASC46"/>
      <c r="ASE46" s="110"/>
      <c r="ASG46"/>
      <c r="ASI46" s="110"/>
      <c r="ASK46"/>
      <c r="ASM46" s="110"/>
      <c r="ASO46"/>
      <c r="ASQ46" s="110"/>
      <c r="ASS46"/>
      <c r="ASU46" s="110"/>
      <c r="ASW46"/>
      <c r="ASY46" s="110"/>
      <c r="ATA46"/>
      <c r="ATC46" s="110"/>
      <c r="ATE46"/>
      <c r="ATG46" s="110"/>
      <c r="ATI46"/>
      <c r="ATK46" s="110"/>
      <c r="ATM46"/>
      <c r="ATO46" s="110"/>
      <c r="ATQ46"/>
      <c r="ATS46" s="110"/>
      <c r="ATU46"/>
      <c r="ATW46" s="110"/>
      <c r="ATY46"/>
      <c r="AUA46" s="110"/>
      <c r="AUC46"/>
      <c r="AUE46" s="110"/>
      <c r="AUG46"/>
      <c r="AUI46" s="110"/>
      <c r="AUK46"/>
      <c r="AUM46" s="110"/>
      <c r="AUO46"/>
      <c r="AUQ46" s="110"/>
      <c r="AUS46"/>
      <c r="AUU46" s="110"/>
      <c r="AUW46"/>
      <c r="AUY46" s="110"/>
      <c r="AVA46"/>
      <c r="AVC46" s="110"/>
      <c r="AVE46"/>
      <c r="AVG46" s="110"/>
      <c r="AVI46"/>
      <c r="AVK46" s="110"/>
      <c r="AVM46"/>
      <c r="AVO46" s="110"/>
      <c r="AVQ46"/>
      <c r="AVS46" s="110"/>
      <c r="AVU46"/>
      <c r="AVW46" s="110"/>
      <c r="AVY46"/>
      <c r="AWA46" s="110"/>
      <c r="AWC46"/>
      <c r="AWE46" s="110"/>
      <c r="AWG46"/>
      <c r="AWI46" s="110"/>
      <c r="AWK46"/>
      <c r="AWM46" s="110"/>
      <c r="AWO46"/>
      <c r="AWQ46" s="110"/>
      <c r="AWS46"/>
      <c r="AWU46" s="110"/>
      <c r="AWW46"/>
      <c r="AWY46" s="110"/>
      <c r="AXA46"/>
      <c r="AXC46" s="110"/>
      <c r="AXE46"/>
      <c r="AXG46" s="110"/>
      <c r="AXI46"/>
      <c r="AXK46" s="110"/>
      <c r="AXM46"/>
      <c r="AXO46" s="110"/>
      <c r="AXQ46"/>
      <c r="AXS46" s="110"/>
      <c r="AXU46"/>
      <c r="AXW46" s="110"/>
      <c r="AXY46"/>
      <c r="AYA46" s="110"/>
      <c r="AYC46"/>
      <c r="AYE46" s="110"/>
      <c r="AYG46"/>
      <c r="AYI46" s="110"/>
      <c r="AYK46"/>
      <c r="AYM46" s="110"/>
      <c r="AYO46"/>
      <c r="AYQ46" s="110"/>
      <c r="AYS46"/>
      <c r="AYU46" s="110"/>
      <c r="AYW46"/>
      <c r="AYY46" s="110"/>
      <c r="AZA46"/>
      <c r="AZC46" s="110"/>
      <c r="AZE46"/>
      <c r="AZG46" s="110"/>
      <c r="AZI46"/>
      <c r="AZK46" s="110"/>
      <c r="AZM46"/>
      <c r="AZO46" s="110"/>
      <c r="AZQ46"/>
      <c r="AZS46" s="110"/>
      <c r="AZU46"/>
      <c r="AZW46" s="110"/>
      <c r="AZY46"/>
      <c r="BAA46" s="110"/>
      <c r="BAC46"/>
      <c r="BAE46" s="110"/>
      <c r="BAG46"/>
      <c r="BAI46" s="110"/>
      <c r="BAK46"/>
      <c r="BAM46" s="110"/>
      <c r="BAO46"/>
      <c r="BAQ46" s="110"/>
      <c r="BAS46"/>
      <c r="BAU46" s="110"/>
      <c r="BAW46"/>
      <c r="BAY46" s="110"/>
      <c r="BBA46"/>
      <c r="BBC46" s="110"/>
      <c r="BBE46"/>
      <c r="BBG46" s="110"/>
      <c r="BBI46"/>
      <c r="BBK46" s="110"/>
      <c r="BBM46"/>
      <c r="BBO46" s="110"/>
      <c r="BBQ46"/>
      <c r="BBS46" s="110"/>
      <c r="BBU46"/>
      <c r="BBW46" s="110"/>
      <c r="BBY46"/>
      <c r="BCA46" s="110"/>
      <c r="BCC46"/>
      <c r="BCE46" s="110"/>
      <c r="BCG46"/>
      <c r="BCI46" s="110"/>
      <c r="BCK46"/>
      <c r="BCM46" s="110"/>
      <c r="BCO46"/>
      <c r="BCQ46" s="110"/>
      <c r="BCS46"/>
      <c r="BCU46" s="110"/>
      <c r="BCW46"/>
      <c r="BCY46" s="110"/>
      <c r="BDA46"/>
      <c r="BDC46" s="110"/>
      <c r="BDE46"/>
      <c r="BDG46" s="110"/>
      <c r="BDI46"/>
      <c r="BDK46" s="110"/>
      <c r="BDM46"/>
      <c r="BDO46" s="110"/>
      <c r="BDQ46"/>
      <c r="BDS46" s="110"/>
      <c r="BDU46"/>
      <c r="BDW46" s="110"/>
      <c r="BDY46"/>
      <c r="BEA46" s="110"/>
      <c r="BEC46"/>
      <c r="BEE46" s="110"/>
      <c r="BEG46"/>
      <c r="BEI46" s="110"/>
      <c r="BEK46"/>
      <c r="BEM46" s="110"/>
      <c r="BEO46"/>
      <c r="BEQ46" s="110"/>
      <c r="BES46"/>
      <c r="BEU46" s="110"/>
      <c r="BEW46"/>
      <c r="BEY46" s="110"/>
      <c r="BFA46"/>
      <c r="BFC46" s="110"/>
      <c r="BFE46"/>
      <c r="BFG46" s="110"/>
      <c r="BFI46"/>
      <c r="BFK46" s="110"/>
      <c r="BFM46"/>
      <c r="BFO46" s="110"/>
      <c r="BFQ46"/>
      <c r="BFS46" s="110"/>
      <c r="BFU46"/>
      <c r="BFW46" s="110"/>
      <c r="BFY46"/>
      <c r="BGA46" s="110"/>
      <c r="BGC46"/>
      <c r="BGE46" s="110"/>
      <c r="BGG46"/>
      <c r="BGI46" s="110"/>
      <c r="BGK46"/>
      <c r="BGM46" s="110"/>
      <c r="BGO46"/>
      <c r="BGQ46" s="110"/>
      <c r="BGS46"/>
      <c r="BGU46" s="110"/>
      <c r="BGW46"/>
      <c r="BGY46" s="110"/>
      <c r="BHA46"/>
      <c r="BHC46" s="110"/>
      <c r="BHE46"/>
      <c r="BHG46" s="110"/>
      <c r="BHI46"/>
      <c r="BHK46" s="110"/>
      <c r="BHM46"/>
      <c r="BHO46" s="110"/>
      <c r="BHQ46"/>
      <c r="BHS46" s="110"/>
      <c r="BHU46"/>
      <c r="BHW46" s="110"/>
      <c r="BHY46"/>
      <c r="BIA46" s="110"/>
      <c r="BIC46"/>
      <c r="BIE46" s="110"/>
      <c r="BIG46"/>
      <c r="BII46" s="110"/>
      <c r="BIK46"/>
      <c r="BIM46" s="110"/>
      <c r="BIO46"/>
      <c r="BIQ46" s="110"/>
      <c r="BIS46"/>
      <c r="BIU46" s="110"/>
      <c r="BIW46"/>
      <c r="BIY46" s="110"/>
      <c r="BJA46"/>
      <c r="BJC46" s="110"/>
      <c r="BJE46"/>
      <c r="BJG46" s="110"/>
      <c r="BJI46"/>
      <c r="BJK46" s="110"/>
      <c r="BJM46"/>
      <c r="BJO46" s="110"/>
      <c r="BJQ46"/>
      <c r="BJS46" s="110"/>
      <c r="BJU46"/>
      <c r="BJW46" s="110"/>
      <c r="BJY46"/>
      <c r="BKA46" s="110"/>
      <c r="BKC46"/>
      <c r="BKE46" s="110"/>
      <c r="BKG46"/>
      <c r="BKI46" s="110"/>
      <c r="BKK46"/>
      <c r="BKM46" s="110"/>
      <c r="BKO46"/>
      <c r="BKQ46" s="110"/>
      <c r="BKS46"/>
      <c r="BKU46" s="110"/>
      <c r="BKW46"/>
      <c r="BKY46" s="110"/>
      <c r="BLA46"/>
      <c r="BLC46" s="110"/>
      <c r="BLE46"/>
      <c r="BLG46" s="110"/>
      <c r="BLI46"/>
      <c r="BLK46" s="110"/>
      <c r="BLM46"/>
      <c r="BLO46" s="110"/>
      <c r="BLQ46"/>
      <c r="BLS46" s="110"/>
      <c r="BLU46"/>
      <c r="BLW46" s="110"/>
      <c r="BLY46"/>
      <c r="BMA46" s="110"/>
      <c r="BMC46"/>
      <c r="BME46" s="110"/>
      <c r="BMG46"/>
      <c r="BMI46" s="110"/>
      <c r="BMK46"/>
      <c r="BMM46" s="110"/>
      <c r="BMO46"/>
      <c r="BMQ46" s="110"/>
      <c r="BMS46"/>
      <c r="BMU46" s="110"/>
      <c r="BMW46"/>
      <c r="BMY46" s="110"/>
      <c r="BNA46"/>
      <c r="BNC46" s="110"/>
      <c r="BNE46"/>
      <c r="BNG46" s="110"/>
      <c r="BNI46"/>
      <c r="BNK46" s="110"/>
      <c r="BNM46"/>
      <c r="BNO46" s="110"/>
      <c r="BNQ46"/>
      <c r="BNS46" s="110"/>
      <c r="BNU46"/>
      <c r="BNW46" s="110"/>
      <c r="BNY46"/>
      <c r="BOA46" s="110"/>
      <c r="BOC46"/>
      <c r="BOE46" s="110"/>
      <c r="BOG46"/>
      <c r="BOI46" s="110"/>
      <c r="BOK46"/>
      <c r="BOM46" s="110"/>
      <c r="BOO46"/>
      <c r="BOQ46" s="110"/>
      <c r="BOS46"/>
      <c r="BOU46" s="110"/>
      <c r="BOW46"/>
      <c r="BOY46" s="110"/>
      <c r="BPA46"/>
      <c r="BPC46" s="110"/>
      <c r="BPE46"/>
      <c r="BPG46" s="110"/>
      <c r="BPI46"/>
      <c r="BPK46" s="110"/>
      <c r="BPM46"/>
      <c r="BPO46" s="110"/>
      <c r="BPQ46"/>
      <c r="BPS46" s="110"/>
      <c r="BPU46"/>
      <c r="BPW46" s="110"/>
      <c r="BPY46"/>
      <c r="BQA46" s="110"/>
      <c r="BQC46"/>
      <c r="BQE46" s="110"/>
      <c r="BQG46"/>
      <c r="BQI46" s="110"/>
      <c r="BQK46"/>
      <c r="BQM46" s="110"/>
      <c r="BQO46"/>
      <c r="BQQ46" s="110"/>
      <c r="BQS46"/>
      <c r="BQU46" s="110"/>
      <c r="BQW46"/>
      <c r="BQY46" s="110"/>
      <c r="BRA46"/>
      <c r="BRC46" s="110"/>
      <c r="BRE46"/>
      <c r="BRG46" s="110"/>
      <c r="BRI46"/>
      <c r="BRK46" s="110"/>
      <c r="BRM46"/>
      <c r="BRO46" s="110"/>
      <c r="BRQ46"/>
      <c r="BRS46" s="110"/>
      <c r="BRU46"/>
      <c r="BRW46" s="110"/>
      <c r="BRY46"/>
      <c r="BSA46" s="110"/>
      <c r="BSC46"/>
      <c r="BSE46" s="110"/>
      <c r="BSG46"/>
      <c r="BSI46" s="110"/>
      <c r="BSK46"/>
      <c r="BSM46" s="110"/>
      <c r="BSO46"/>
      <c r="BSQ46" s="110"/>
      <c r="BSS46"/>
      <c r="BSU46" s="110"/>
      <c r="BSW46"/>
      <c r="BSY46" s="110"/>
      <c r="BTA46"/>
      <c r="BTC46" s="110"/>
      <c r="BTE46"/>
      <c r="BTG46" s="110"/>
      <c r="BTI46"/>
      <c r="BTK46" s="110"/>
      <c r="BTM46"/>
      <c r="BTO46" s="110"/>
      <c r="BTQ46"/>
      <c r="BTS46" s="110"/>
      <c r="BTU46"/>
      <c r="BTW46" s="110"/>
      <c r="BTY46"/>
      <c r="BUA46" s="110"/>
      <c r="BUC46"/>
      <c r="BUE46" s="110"/>
      <c r="BUG46"/>
      <c r="BUI46" s="110"/>
      <c r="BUK46"/>
      <c r="BUM46" s="110"/>
      <c r="BUO46"/>
      <c r="BUQ46" s="110"/>
      <c r="BUS46"/>
      <c r="BUU46" s="110"/>
      <c r="BUW46"/>
      <c r="BUY46" s="110"/>
      <c r="BVA46"/>
      <c r="BVC46" s="110"/>
      <c r="BVE46"/>
      <c r="BVG46" s="110"/>
      <c r="BVI46"/>
      <c r="BVK46" s="110"/>
      <c r="BVM46"/>
      <c r="BVO46" s="110"/>
      <c r="BVQ46"/>
      <c r="BVS46" s="110"/>
      <c r="BVU46"/>
      <c r="BVW46" s="110"/>
      <c r="BVY46"/>
      <c r="BWA46" s="110"/>
      <c r="BWC46"/>
      <c r="BWE46" s="110"/>
      <c r="BWG46"/>
      <c r="BWI46" s="110"/>
      <c r="BWK46"/>
      <c r="BWM46" s="110"/>
      <c r="BWO46"/>
      <c r="BWQ46" s="110"/>
      <c r="BWS46"/>
      <c r="BWU46" s="110"/>
      <c r="BWW46"/>
      <c r="BWY46" s="110"/>
      <c r="BXA46"/>
      <c r="BXC46" s="110"/>
      <c r="BXE46"/>
      <c r="BXG46" s="110"/>
      <c r="BXI46"/>
      <c r="BXK46" s="110"/>
      <c r="BXM46"/>
      <c r="BXO46" s="110"/>
      <c r="BXQ46"/>
      <c r="BXS46" s="110"/>
      <c r="BXU46"/>
      <c r="BXW46" s="110"/>
      <c r="BXY46"/>
      <c r="BYA46" s="110"/>
      <c r="BYC46"/>
      <c r="BYE46" s="110"/>
      <c r="BYG46"/>
      <c r="BYI46" s="110"/>
      <c r="BYK46"/>
      <c r="BYM46" s="110"/>
      <c r="BYO46"/>
      <c r="BYQ46" s="110"/>
      <c r="BYS46"/>
      <c r="BYU46" s="110"/>
      <c r="BYW46"/>
      <c r="BYY46" s="110"/>
      <c r="BZA46"/>
      <c r="BZC46" s="110"/>
      <c r="BZE46"/>
      <c r="BZG46" s="110"/>
      <c r="BZI46"/>
      <c r="BZK46" s="110"/>
      <c r="BZM46"/>
      <c r="BZO46" s="110"/>
      <c r="BZQ46"/>
      <c r="BZS46" s="110"/>
      <c r="BZU46"/>
      <c r="BZW46" s="110"/>
      <c r="BZY46"/>
      <c r="CAA46" s="110"/>
      <c r="CAC46"/>
      <c r="CAE46" s="110"/>
      <c r="CAG46"/>
      <c r="CAI46" s="110"/>
      <c r="CAK46"/>
      <c r="CAM46" s="110"/>
      <c r="CAO46"/>
      <c r="CAQ46" s="110"/>
      <c r="CAS46"/>
      <c r="CAU46" s="110"/>
      <c r="CAW46"/>
      <c r="CAY46" s="110"/>
      <c r="CBA46"/>
      <c r="CBC46" s="110"/>
      <c r="CBE46"/>
      <c r="CBG46" s="110"/>
      <c r="CBI46"/>
      <c r="CBK46" s="110"/>
      <c r="CBM46"/>
      <c r="CBO46" s="110"/>
      <c r="CBQ46"/>
      <c r="CBS46" s="110"/>
      <c r="CBU46"/>
      <c r="CBW46" s="110"/>
      <c r="CBY46"/>
      <c r="CCA46" s="110"/>
      <c r="CCC46"/>
      <c r="CCE46" s="110"/>
      <c r="CCG46"/>
      <c r="CCI46" s="110"/>
      <c r="CCK46"/>
      <c r="CCM46" s="110"/>
      <c r="CCO46"/>
      <c r="CCQ46" s="110"/>
      <c r="CCS46"/>
      <c r="CCU46" s="110"/>
      <c r="CCW46"/>
      <c r="CCY46" s="110"/>
      <c r="CDA46"/>
      <c r="CDC46" s="110"/>
      <c r="CDE46"/>
      <c r="CDG46" s="110"/>
      <c r="CDI46"/>
      <c r="CDK46" s="110"/>
      <c r="CDM46"/>
      <c r="CDO46" s="110"/>
      <c r="CDQ46"/>
      <c r="CDS46" s="110"/>
      <c r="CDU46"/>
      <c r="CDW46" s="110"/>
      <c r="CDY46"/>
      <c r="CEA46" s="110"/>
      <c r="CEC46"/>
      <c r="CEE46" s="110"/>
      <c r="CEG46"/>
      <c r="CEI46" s="110"/>
      <c r="CEK46"/>
      <c r="CEM46" s="110"/>
      <c r="CEO46"/>
      <c r="CEQ46" s="110"/>
      <c r="CES46"/>
      <c r="CEU46" s="110"/>
      <c r="CEW46"/>
      <c r="CEY46" s="110"/>
      <c r="CFA46"/>
      <c r="CFC46" s="110"/>
      <c r="CFE46"/>
      <c r="CFG46" s="110"/>
      <c r="CFI46"/>
      <c r="CFK46" s="110"/>
      <c r="CFM46"/>
      <c r="CFO46" s="110"/>
      <c r="CFQ46"/>
      <c r="CFS46" s="110"/>
      <c r="CFU46"/>
      <c r="CFW46" s="110"/>
      <c r="CFY46"/>
      <c r="CGA46" s="110"/>
      <c r="CGC46"/>
      <c r="CGE46" s="110"/>
      <c r="CGG46"/>
      <c r="CGI46" s="110"/>
      <c r="CGK46"/>
      <c r="CGM46" s="110"/>
      <c r="CGO46"/>
      <c r="CGQ46" s="110"/>
      <c r="CGS46"/>
      <c r="CGU46" s="110"/>
      <c r="CGW46"/>
      <c r="CGY46" s="110"/>
      <c r="CHA46"/>
      <c r="CHC46" s="110"/>
      <c r="CHE46"/>
      <c r="CHG46" s="110"/>
      <c r="CHI46"/>
      <c r="CHK46" s="110"/>
      <c r="CHM46"/>
      <c r="CHO46" s="110"/>
      <c r="CHQ46"/>
      <c r="CHS46" s="110"/>
      <c r="CHU46"/>
      <c r="CHW46" s="110"/>
      <c r="CHY46"/>
      <c r="CIA46" s="110"/>
      <c r="CIC46"/>
      <c r="CIE46" s="110"/>
      <c r="CIG46"/>
      <c r="CII46" s="110"/>
      <c r="CIK46"/>
      <c r="CIM46" s="110"/>
      <c r="CIO46"/>
      <c r="CIQ46" s="110"/>
      <c r="CIS46"/>
      <c r="CIU46" s="110"/>
      <c r="CIW46"/>
      <c r="CIY46" s="110"/>
      <c r="CJA46"/>
      <c r="CJC46" s="110"/>
      <c r="CJE46"/>
      <c r="CJG46" s="110"/>
      <c r="CJI46"/>
      <c r="CJK46" s="110"/>
      <c r="CJM46"/>
      <c r="CJO46" s="110"/>
      <c r="CJQ46"/>
      <c r="CJS46" s="110"/>
      <c r="CJU46"/>
      <c r="CJW46" s="110"/>
      <c r="CJY46"/>
      <c r="CKA46" s="110"/>
      <c r="CKC46"/>
      <c r="CKE46" s="110"/>
      <c r="CKG46"/>
      <c r="CKI46" s="110"/>
      <c r="CKK46"/>
      <c r="CKM46" s="110"/>
      <c r="CKO46"/>
      <c r="CKQ46" s="110"/>
      <c r="CKS46"/>
      <c r="CKU46" s="110"/>
      <c r="CKW46"/>
      <c r="CKY46" s="110"/>
      <c r="CLA46"/>
      <c r="CLC46" s="110"/>
      <c r="CLE46"/>
      <c r="CLG46" s="110"/>
      <c r="CLI46"/>
      <c r="CLK46" s="110"/>
      <c r="CLM46"/>
      <c r="CLO46" s="110"/>
      <c r="CLQ46"/>
      <c r="CLS46" s="110"/>
      <c r="CLU46"/>
      <c r="CLW46" s="110"/>
      <c r="CLY46"/>
      <c r="CMA46" s="110"/>
      <c r="CMC46"/>
      <c r="CME46" s="110"/>
      <c r="CMG46"/>
      <c r="CMI46" s="110"/>
      <c r="CMK46"/>
      <c r="CMM46" s="110"/>
      <c r="CMO46"/>
      <c r="CMQ46" s="110"/>
      <c r="CMS46"/>
      <c r="CMU46" s="110"/>
      <c r="CMW46"/>
      <c r="CMY46" s="110"/>
      <c r="CNA46"/>
      <c r="CNC46" s="110"/>
      <c r="CNE46"/>
      <c r="CNG46" s="110"/>
      <c r="CNI46"/>
      <c r="CNK46" s="110"/>
      <c r="CNM46"/>
      <c r="CNO46" s="110"/>
      <c r="CNQ46"/>
      <c r="CNS46" s="110"/>
      <c r="CNU46"/>
      <c r="CNW46" s="110"/>
      <c r="CNY46"/>
      <c r="COA46" s="110"/>
      <c r="COC46"/>
      <c r="COE46" s="110"/>
      <c r="COG46"/>
      <c r="COI46" s="110"/>
      <c r="COK46"/>
      <c r="COM46" s="110"/>
      <c r="COO46"/>
      <c r="COQ46" s="110"/>
      <c r="COS46"/>
      <c r="COU46" s="110"/>
      <c r="COW46"/>
      <c r="COY46" s="110"/>
      <c r="CPA46"/>
      <c r="CPC46" s="110"/>
      <c r="CPE46"/>
      <c r="CPG46" s="110"/>
      <c r="CPI46"/>
      <c r="CPK46" s="110"/>
      <c r="CPM46"/>
      <c r="CPO46" s="110"/>
      <c r="CPQ46"/>
      <c r="CPS46" s="110"/>
      <c r="CPU46"/>
      <c r="CPW46" s="110"/>
      <c r="CPY46"/>
      <c r="CQA46" s="110"/>
      <c r="CQC46"/>
      <c r="CQE46" s="110"/>
      <c r="CQG46"/>
      <c r="CQI46" s="110"/>
      <c r="CQK46"/>
      <c r="CQM46" s="110"/>
      <c r="CQO46"/>
      <c r="CQQ46" s="110"/>
      <c r="CQS46"/>
      <c r="CQU46" s="110"/>
      <c r="CQW46"/>
      <c r="CQY46" s="110"/>
      <c r="CRA46"/>
      <c r="CRC46" s="110"/>
      <c r="CRE46"/>
      <c r="CRG46" s="110"/>
      <c r="CRI46"/>
      <c r="CRK46" s="110"/>
      <c r="CRM46"/>
      <c r="CRO46" s="110"/>
      <c r="CRQ46"/>
      <c r="CRS46" s="110"/>
      <c r="CRU46"/>
      <c r="CRW46" s="110"/>
      <c r="CRY46"/>
      <c r="CSA46" s="110"/>
      <c r="CSC46"/>
      <c r="CSE46" s="110"/>
      <c r="CSG46"/>
      <c r="CSI46" s="110"/>
      <c r="CSK46"/>
      <c r="CSM46" s="110"/>
      <c r="CSO46"/>
      <c r="CSQ46" s="110"/>
      <c r="CSS46"/>
      <c r="CSU46" s="110"/>
      <c r="CSW46"/>
      <c r="CSY46" s="110"/>
      <c r="CTA46"/>
      <c r="CTC46" s="110"/>
      <c r="CTE46"/>
      <c r="CTG46" s="110"/>
      <c r="CTI46"/>
      <c r="CTK46" s="110"/>
      <c r="CTM46"/>
      <c r="CTO46" s="110"/>
      <c r="CTQ46"/>
      <c r="CTS46" s="110"/>
      <c r="CTU46"/>
      <c r="CTW46" s="110"/>
      <c r="CTY46"/>
      <c r="CUA46" s="110"/>
      <c r="CUC46"/>
      <c r="CUE46" s="110"/>
      <c r="CUG46"/>
      <c r="CUI46" s="110"/>
      <c r="CUK46"/>
      <c r="CUM46" s="110"/>
      <c r="CUO46"/>
      <c r="CUQ46" s="110"/>
      <c r="CUS46"/>
      <c r="CUU46" s="110"/>
      <c r="CUW46"/>
      <c r="CUY46" s="110"/>
      <c r="CVA46"/>
      <c r="CVC46" s="110"/>
      <c r="CVE46"/>
      <c r="CVG46" s="110"/>
      <c r="CVI46"/>
      <c r="CVK46" s="110"/>
      <c r="CVM46"/>
      <c r="CVO46" s="110"/>
      <c r="CVQ46"/>
      <c r="CVS46" s="110"/>
      <c r="CVU46"/>
      <c r="CVW46" s="110"/>
      <c r="CVY46"/>
      <c r="CWA46" s="110"/>
      <c r="CWC46"/>
      <c r="CWE46" s="110"/>
      <c r="CWG46"/>
      <c r="CWI46" s="110"/>
      <c r="CWK46"/>
      <c r="CWM46" s="110"/>
      <c r="CWO46"/>
      <c r="CWQ46" s="110"/>
      <c r="CWS46"/>
      <c r="CWU46" s="110"/>
      <c r="CWW46"/>
      <c r="CWY46" s="110"/>
      <c r="CXA46"/>
      <c r="CXC46" s="110"/>
      <c r="CXE46"/>
      <c r="CXG46" s="110"/>
      <c r="CXI46"/>
      <c r="CXK46" s="110"/>
      <c r="CXM46"/>
      <c r="CXO46" s="110"/>
      <c r="CXQ46"/>
      <c r="CXS46" s="110"/>
      <c r="CXU46"/>
      <c r="CXW46" s="110"/>
      <c r="CXY46"/>
      <c r="CYA46" s="110"/>
      <c r="CYC46"/>
      <c r="CYE46" s="110"/>
      <c r="CYG46"/>
      <c r="CYI46" s="110"/>
      <c r="CYK46"/>
      <c r="CYM46" s="110"/>
      <c r="CYO46"/>
      <c r="CYQ46" s="110"/>
      <c r="CYS46"/>
      <c r="CYU46" s="110"/>
      <c r="CYW46"/>
      <c r="CYY46" s="110"/>
      <c r="CZA46"/>
      <c r="CZC46" s="110"/>
      <c r="CZE46"/>
      <c r="CZG46" s="110"/>
      <c r="CZI46"/>
      <c r="CZK46" s="110"/>
      <c r="CZM46"/>
      <c r="CZO46" s="110"/>
      <c r="CZQ46"/>
      <c r="CZS46" s="110"/>
      <c r="CZU46"/>
      <c r="CZW46" s="110"/>
      <c r="CZY46"/>
      <c r="DAA46" s="110"/>
      <c r="DAC46"/>
      <c r="DAE46" s="110"/>
      <c r="DAG46"/>
      <c r="DAI46" s="110"/>
      <c r="DAK46"/>
      <c r="DAM46" s="110"/>
      <c r="DAO46"/>
      <c r="DAQ46" s="110"/>
      <c r="DAS46"/>
      <c r="DAU46" s="110"/>
      <c r="DAW46"/>
      <c r="DAY46" s="110"/>
      <c r="DBA46"/>
      <c r="DBC46" s="110"/>
      <c r="DBE46"/>
      <c r="DBG46" s="110"/>
      <c r="DBI46"/>
      <c r="DBK46" s="110"/>
      <c r="DBM46"/>
      <c r="DBO46" s="110"/>
      <c r="DBQ46"/>
      <c r="DBS46" s="110"/>
      <c r="DBU46"/>
      <c r="DBW46" s="110"/>
      <c r="DBY46"/>
      <c r="DCA46" s="110"/>
      <c r="DCC46"/>
      <c r="DCE46" s="110"/>
      <c r="DCG46"/>
      <c r="DCI46" s="110"/>
      <c r="DCK46"/>
      <c r="DCM46" s="110"/>
      <c r="DCO46"/>
      <c r="DCQ46" s="110"/>
      <c r="DCS46"/>
      <c r="DCU46" s="110"/>
      <c r="DCW46"/>
      <c r="DCY46" s="110"/>
      <c r="DDA46"/>
      <c r="DDC46" s="110"/>
      <c r="DDE46"/>
      <c r="DDG46" s="110"/>
      <c r="DDI46"/>
      <c r="DDK46" s="110"/>
      <c r="DDM46"/>
      <c r="DDO46" s="110"/>
      <c r="DDQ46"/>
      <c r="DDS46" s="110"/>
      <c r="DDU46"/>
      <c r="DDW46" s="110"/>
      <c r="DDY46"/>
      <c r="DEA46" s="110"/>
      <c r="DEC46"/>
      <c r="DEE46" s="110"/>
      <c r="DEG46"/>
      <c r="DEI46" s="110"/>
      <c r="DEK46"/>
      <c r="DEM46" s="110"/>
      <c r="DEO46"/>
      <c r="DEQ46" s="110"/>
      <c r="DES46"/>
      <c r="DEU46" s="110"/>
      <c r="DEW46"/>
      <c r="DEY46" s="110"/>
      <c r="DFA46"/>
      <c r="DFC46" s="110"/>
      <c r="DFE46"/>
      <c r="DFG46" s="110"/>
      <c r="DFI46"/>
      <c r="DFK46" s="110"/>
      <c r="DFM46"/>
      <c r="DFO46" s="110"/>
      <c r="DFQ46"/>
      <c r="DFS46" s="110"/>
      <c r="DFU46"/>
      <c r="DFW46" s="110"/>
      <c r="DFY46"/>
      <c r="DGA46" s="110"/>
      <c r="DGC46"/>
      <c r="DGE46" s="110"/>
      <c r="DGG46"/>
      <c r="DGI46" s="110"/>
      <c r="DGK46"/>
      <c r="DGM46" s="110"/>
      <c r="DGO46"/>
      <c r="DGQ46" s="110"/>
      <c r="DGS46"/>
      <c r="DGU46" s="110"/>
      <c r="DGW46"/>
      <c r="DGY46" s="110"/>
      <c r="DHA46"/>
      <c r="DHC46" s="110"/>
      <c r="DHE46"/>
      <c r="DHG46" s="110"/>
      <c r="DHI46"/>
      <c r="DHK46" s="110"/>
      <c r="DHM46"/>
      <c r="DHO46" s="110"/>
      <c r="DHQ46"/>
      <c r="DHS46" s="110"/>
      <c r="DHU46"/>
      <c r="DHW46" s="110"/>
      <c r="DHY46"/>
      <c r="DIA46" s="110"/>
      <c r="DIC46"/>
      <c r="DIE46" s="110"/>
      <c r="DIG46"/>
      <c r="DII46" s="110"/>
      <c r="DIK46"/>
      <c r="DIM46" s="110"/>
      <c r="DIO46"/>
      <c r="DIQ46" s="110"/>
      <c r="DIS46"/>
      <c r="DIU46" s="110"/>
      <c r="DIW46"/>
      <c r="DIY46" s="110"/>
      <c r="DJA46"/>
      <c r="DJC46" s="110"/>
      <c r="DJE46"/>
      <c r="DJG46" s="110"/>
      <c r="DJI46"/>
      <c r="DJK46" s="110"/>
      <c r="DJM46"/>
      <c r="DJO46" s="110"/>
      <c r="DJQ46"/>
      <c r="DJS46" s="110"/>
      <c r="DJU46"/>
      <c r="DJW46" s="110"/>
      <c r="DJY46"/>
      <c r="DKA46" s="110"/>
      <c r="DKC46"/>
      <c r="DKE46" s="110"/>
      <c r="DKG46"/>
      <c r="DKI46" s="110"/>
      <c r="DKK46"/>
      <c r="DKM46" s="110"/>
      <c r="DKO46"/>
      <c r="DKQ46" s="110"/>
      <c r="DKS46"/>
      <c r="DKU46" s="110"/>
      <c r="DKW46"/>
      <c r="DKY46" s="110"/>
      <c r="DLA46"/>
      <c r="DLC46" s="110"/>
      <c r="DLE46"/>
      <c r="DLG46" s="110"/>
      <c r="DLI46"/>
      <c r="DLK46" s="110"/>
      <c r="DLM46"/>
      <c r="DLO46" s="110"/>
      <c r="DLQ46"/>
      <c r="DLS46" s="110"/>
      <c r="DLU46"/>
      <c r="DLW46" s="110"/>
      <c r="DLY46"/>
      <c r="DMA46" s="110"/>
      <c r="DMC46"/>
      <c r="DME46" s="110"/>
      <c r="DMG46"/>
      <c r="DMI46" s="110"/>
      <c r="DMK46"/>
      <c r="DMM46" s="110"/>
      <c r="DMO46"/>
      <c r="DMQ46" s="110"/>
      <c r="DMS46"/>
      <c r="DMU46" s="110"/>
      <c r="DMW46"/>
      <c r="DMY46" s="110"/>
      <c r="DNA46"/>
      <c r="DNC46" s="110"/>
      <c r="DNE46"/>
      <c r="DNG46" s="110"/>
      <c r="DNI46"/>
      <c r="DNK46" s="110"/>
      <c r="DNM46"/>
      <c r="DNO46" s="110"/>
      <c r="DNQ46"/>
      <c r="DNS46" s="110"/>
      <c r="DNU46"/>
      <c r="DNW46" s="110"/>
      <c r="DNY46"/>
      <c r="DOA46" s="110"/>
      <c r="DOC46"/>
      <c r="DOE46" s="110"/>
      <c r="DOG46"/>
      <c r="DOI46" s="110"/>
      <c r="DOK46"/>
      <c r="DOM46" s="110"/>
      <c r="DOO46"/>
      <c r="DOQ46" s="110"/>
      <c r="DOS46"/>
      <c r="DOU46" s="110"/>
      <c r="DOW46"/>
      <c r="DOY46" s="110"/>
      <c r="DPA46"/>
      <c r="DPC46" s="110"/>
      <c r="DPE46"/>
      <c r="DPG46" s="110"/>
      <c r="DPI46"/>
      <c r="DPK46" s="110"/>
      <c r="DPM46"/>
      <c r="DPO46" s="110"/>
      <c r="DPQ46"/>
      <c r="DPS46" s="110"/>
      <c r="DPU46"/>
      <c r="DPW46" s="110"/>
      <c r="DPY46"/>
      <c r="DQA46" s="110"/>
      <c r="DQC46"/>
      <c r="DQE46" s="110"/>
      <c r="DQG46"/>
      <c r="DQI46" s="110"/>
      <c r="DQK46"/>
      <c r="DQM46" s="110"/>
      <c r="DQO46"/>
      <c r="DQQ46" s="110"/>
      <c r="DQS46"/>
      <c r="DQU46" s="110"/>
      <c r="DQW46"/>
      <c r="DQY46" s="110"/>
      <c r="DRA46"/>
      <c r="DRC46" s="110"/>
      <c r="DRE46"/>
      <c r="DRG46" s="110"/>
      <c r="DRI46"/>
      <c r="DRK46" s="110"/>
      <c r="DRM46"/>
      <c r="DRO46" s="110"/>
      <c r="DRQ46"/>
      <c r="DRS46" s="110"/>
      <c r="DRU46"/>
      <c r="DRW46" s="110"/>
      <c r="DRY46"/>
      <c r="DSA46" s="110"/>
      <c r="DSC46"/>
      <c r="DSE46" s="110"/>
      <c r="DSG46"/>
      <c r="DSI46" s="110"/>
      <c r="DSK46"/>
      <c r="DSM46" s="110"/>
      <c r="DSO46"/>
      <c r="DSQ46" s="110"/>
      <c r="DSS46"/>
      <c r="DSU46" s="110"/>
      <c r="DSW46"/>
      <c r="DSY46" s="110"/>
      <c r="DTA46"/>
      <c r="DTC46" s="110"/>
      <c r="DTE46"/>
      <c r="DTG46" s="110"/>
      <c r="DTI46"/>
      <c r="DTK46" s="110"/>
      <c r="DTM46"/>
      <c r="DTO46" s="110"/>
      <c r="DTQ46"/>
      <c r="DTS46" s="110"/>
      <c r="DTU46"/>
      <c r="DTW46" s="110"/>
      <c r="DTY46"/>
      <c r="DUA46" s="110"/>
      <c r="DUC46"/>
      <c r="DUE46" s="110"/>
      <c r="DUG46"/>
      <c r="DUI46" s="110"/>
      <c r="DUK46"/>
      <c r="DUM46" s="110"/>
      <c r="DUO46"/>
      <c r="DUQ46" s="110"/>
      <c r="DUS46"/>
      <c r="DUU46" s="110"/>
      <c r="DUW46"/>
      <c r="DUY46" s="110"/>
      <c r="DVA46"/>
      <c r="DVC46" s="110"/>
      <c r="DVE46"/>
      <c r="DVG46" s="110"/>
      <c r="DVI46"/>
      <c r="DVK46" s="110"/>
      <c r="DVM46"/>
      <c r="DVO46" s="110"/>
      <c r="DVQ46"/>
      <c r="DVS46" s="110"/>
      <c r="DVU46"/>
      <c r="DVW46" s="110"/>
      <c r="DVY46"/>
      <c r="DWA46" s="110"/>
      <c r="DWC46"/>
      <c r="DWE46" s="110"/>
      <c r="DWG46"/>
      <c r="DWI46" s="110"/>
      <c r="DWK46"/>
      <c r="DWM46" s="110"/>
      <c r="DWO46"/>
      <c r="DWQ46" s="110"/>
      <c r="DWS46"/>
      <c r="DWU46" s="110"/>
      <c r="DWW46"/>
      <c r="DWY46" s="110"/>
      <c r="DXA46"/>
      <c r="DXC46" s="110"/>
      <c r="DXE46"/>
      <c r="DXG46" s="110"/>
      <c r="DXI46"/>
      <c r="DXK46" s="110"/>
      <c r="DXM46"/>
      <c r="DXO46" s="110"/>
      <c r="DXQ46"/>
      <c r="DXS46" s="110"/>
      <c r="DXU46"/>
      <c r="DXW46" s="110"/>
      <c r="DXY46"/>
      <c r="DYA46" s="110"/>
      <c r="DYC46"/>
      <c r="DYE46" s="110"/>
      <c r="DYG46"/>
      <c r="DYI46" s="110"/>
      <c r="DYK46"/>
      <c r="DYM46" s="110"/>
      <c r="DYO46"/>
      <c r="DYQ46" s="110"/>
      <c r="DYS46"/>
      <c r="DYU46" s="110"/>
      <c r="DYW46"/>
      <c r="DYY46" s="110"/>
      <c r="DZA46"/>
      <c r="DZC46" s="110"/>
      <c r="DZE46"/>
      <c r="DZG46" s="110"/>
      <c r="DZI46"/>
      <c r="DZK46" s="110"/>
      <c r="DZM46"/>
      <c r="DZO46" s="110"/>
      <c r="DZQ46"/>
      <c r="DZS46" s="110"/>
      <c r="DZU46"/>
      <c r="DZW46" s="110"/>
      <c r="DZY46"/>
      <c r="EAA46" s="110"/>
      <c r="EAC46"/>
      <c r="EAE46" s="110"/>
      <c r="EAG46"/>
      <c r="EAI46" s="110"/>
      <c r="EAK46"/>
      <c r="EAM46" s="110"/>
      <c r="EAO46"/>
      <c r="EAQ46" s="110"/>
      <c r="EAS46"/>
      <c r="EAU46" s="110"/>
      <c r="EAW46"/>
      <c r="EAY46" s="110"/>
      <c r="EBA46"/>
      <c r="EBC46" s="110"/>
      <c r="EBE46"/>
      <c r="EBG46" s="110"/>
      <c r="EBI46"/>
      <c r="EBK46" s="110"/>
      <c r="EBM46"/>
      <c r="EBO46" s="110"/>
      <c r="EBQ46"/>
      <c r="EBS46" s="110"/>
      <c r="EBU46"/>
      <c r="EBW46" s="110"/>
      <c r="EBY46"/>
      <c r="ECA46" s="110"/>
      <c r="ECC46"/>
      <c r="ECE46" s="110"/>
      <c r="ECG46"/>
      <c r="ECI46" s="110"/>
      <c r="ECK46"/>
      <c r="ECM46" s="110"/>
      <c r="ECO46"/>
      <c r="ECQ46" s="110"/>
      <c r="ECS46"/>
      <c r="ECU46" s="110"/>
      <c r="ECW46"/>
      <c r="ECY46" s="110"/>
      <c r="EDA46"/>
      <c r="EDC46" s="110"/>
      <c r="EDE46"/>
      <c r="EDG46" s="110"/>
      <c r="EDI46"/>
      <c r="EDK46" s="110"/>
      <c r="EDM46"/>
      <c r="EDO46" s="110"/>
      <c r="EDQ46"/>
      <c r="EDS46" s="110"/>
      <c r="EDU46"/>
      <c r="EDW46" s="110"/>
      <c r="EDY46"/>
      <c r="EEA46" s="110"/>
      <c r="EEC46"/>
      <c r="EEE46" s="110"/>
      <c r="EEG46"/>
      <c r="EEI46" s="110"/>
      <c r="EEK46"/>
      <c r="EEM46" s="110"/>
      <c r="EEO46"/>
      <c r="EEQ46" s="110"/>
      <c r="EES46"/>
      <c r="EEU46" s="110"/>
      <c r="EEW46"/>
      <c r="EEY46" s="110"/>
      <c r="EFA46"/>
      <c r="EFC46" s="110"/>
      <c r="EFE46"/>
      <c r="EFG46" s="110"/>
      <c r="EFI46"/>
      <c r="EFK46" s="110"/>
      <c r="EFM46"/>
      <c r="EFO46" s="110"/>
      <c r="EFQ46"/>
      <c r="EFS46" s="110"/>
      <c r="EFU46"/>
      <c r="EFW46" s="110"/>
      <c r="EFY46"/>
      <c r="EGA46" s="110"/>
      <c r="EGC46"/>
      <c r="EGE46" s="110"/>
      <c r="EGG46"/>
      <c r="EGI46" s="110"/>
      <c r="EGK46"/>
      <c r="EGM46" s="110"/>
      <c r="EGO46"/>
      <c r="EGQ46" s="110"/>
      <c r="EGS46"/>
      <c r="EGU46" s="110"/>
      <c r="EGW46"/>
      <c r="EGY46" s="110"/>
      <c r="EHA46"/>
      <c r="EHC46" s="110"/>
      <c r="EHE46"/>
      <c r="EHG46" s="110"/>
      <c r="EHI46"/>
      <c r="EHK46" s="110"/>
      <c r="EHM46"/>
      <c r="EHO46" s="110"/>
      <c r="EHQ46"/>
      <c r="EHS46" s="110"/>
      <c r="EHU46"/>
      <c r="EHW46" s="110"/>
      <c r="EHY46"/>
      <c r="EIA46" s="110"/>
      <c r="EIC46"/>
      <c r="EIE46" s="110"/>
      <c r="EIG46"/>
      <c r="EII46" s="110"/>
      <c r="EIK46"/>
      <c r="EIM46" s="110"/>
      <c r="EIO46"/>
      <c r="EIQ46" s="110"/>
      <c r="EIS46"/>
      <c r="EIU46" s="110"/>
      <c r="EIW46"/>
      <c r="EIY46" s="110"/>
      <c r="EJA46"/>
      <c r="EJC46" s="110"/>
      <c r="EJE46"/>
      <c r="EJG46" s="110"/>
      <c r="EJI46"/>
      <c r="EJK46" s="110"/>
      <c r="EJM46"/>
      <c r="EJO46" s="110"/>
      <c r="EJQ46"/>
      <c r="EJS46" s="110"/>
      <c r="EJU46"/>
      <c r="EJW46" s="110"/>
      <c r="EJY46"/>
      <c r="EKA46" s="110"/>
      <c r="EKC46"/>
      <c r="EKE46" s="110"/>
      <c r="EKG46"/>
      <c r="EKI46" s="110"/>
      <c r="EKK46"/>
      <c r="EKM46" s="110"/>
      <c r="EKO46"/>
      <c r="EKQ46" s="110"/>
      <c r="EKS46"/>
      <c r="EKU46" s="110"/>
      <c r="EKW46"/>
      <c r="EKY46" s="110"/>
      <c r="ELA46"/>
      <c r="ELC46" s="110"/>
      <c r="ELE46"/>
      <c r="ELG46" s="110"/>
      <c r="ELI46"/>
      <c r="ELK46" s="110"/>
      <c r="ELM46"/>
      <c r="ELO46" s="110"/>
      <c r="ELQ46"/>
      <c r="ELS46" s="110"/>
      <c r="ELU46"/>
      <c r="ELW46" s="110"/>
      <c r="ELY46"/>
      <c r="EMA46" s="110"/>
      <c r="EMC46"/>
      <c r="EME46" s="110"/>
      <c r="EMG46"/>
      <c r="EMI46" s="110"/>
      <c r="EMK46"/>
      <c r="EMM46" s="110"/>
      <c r="EMO46"/>
      <c r="EMQ46" s="110"/>
      <c r="EMS46"/>
      <c r="EMU46" s="110"/>
      <c r="EMW46"/>
      <c r="EMY46" s="110"/>
      <c r="ENA46"/>
      <c r="ENC46" s="110"/>
      <c r="ENE46"/>
      <c r="ENG46" s="110"/>
      <c r="ENI46"/>
      <c r="ENK46" s="110"/>
      <c r="ENM46"/>
      <c r="ENO46" s="110"/>
      <c r="ENQ46"/>
      <c r="ENS46" s="110"/>
      <c r="ENU46"/>
      <c r="ENW46" s="110"/>
      <c r="ENY46"/>
      <c r="EOA46" s="110"/>
      <c r="EOC46"/>
      <c r="EOE46" s="110"/>
      <c r="EOG46"/>
      <c r="EOI46" s="110"/>
      <c r="EOK46"/>
      <c r="EOM46" s="110"/>
      <c r="EOO46"/>
      <c r="EOQ46" s="110"/>
      <c r="EOS46"/>
      <c r="EOU46" s="110"/>
      <c r="EOW46"/>
      <c r="EOY46" s="110"/>
      <c r="EPA46"/>
      <c r="EPC46" s="110"/>
      <c r="EPE46"/>
      <c r="EPG46" s="110"/>
      <c r="EPI46"/>
      <c r="EPK46" s="110"/>
      <c r="EPM46"/>
      <c r="EPO46" s="110"/>
      <c r="EPQ46"/>
      <c r="EPS46" s="110"/>
      <c r="EPU46"/>
      <c r="EPW46" s="110"/>
      <c r="EPY46"/>
      <c r="EQA46" s="110"/>
      <c r="EQC46"/>
      <c r="EQE46" s="110"/>
      <c r="EQG46"/>
      <c r="EQI46" s="110"/>
      <c r="EQK46"/>
      <c r="EQM46" s="110"/>
      <c r="EQO46"/>
      <c r="EQQ46" s="110"/>
      <c r="EQS46"/>
      <c r="EQU46" s="110"/>
      <c r="EQW46"/>
      <c r="EQY46" s="110"/>
      <c r="ERA46"/>
      <c r="ERC46" s="110"/>
      <c r="ERE46"/>
      <c r="ERG46" s="110"/>
      <c r="ERI46"/>
      <c r="ERK46" s="110"/>
      <c r="ERM46"/>
      <c r="ERO46" s="110"/>
      <c r="ERQ46"/>
      <c r="ERS46" s="110"/>
      <c r="ERU46"/>
      <c r="ERW46" s="110"/>
      <c r="ERY46"/>
      <c r="ESA46" s="110"/>
      <c r="ESC46"/>
      <c r="ESE46" s="110"/>
      <c r="ESG46"/>
      <c r="ESI46" s="110"/>
      <c r="ESK46"/>
      <c r="ESM46" s="110"/>
      <c r="ESO46"/>
      <c r="ESQ46" s="110"/>
      <c r="ESS46"/>
      <c r="ESU46" s="110"/>
      <c r="ESW46"/>
      <c r="ESY46" s="110"/>
      <c r="ETA46"/>
      <c r="ETC46" s="110"/>
      <c r="ETE46"/>
      <c r="ETG46" s="110"/>
      <c r="ETI46"/>
      <c r="ETK46" s="110"/>
      <c r="ETM46"/>
      <c r="ETO46" s="110"/>
      <c r="ETQ46"/>
      <c r="ETS46" s="110"/>
      <c r="ETU46"/>
      <c r="ETW46" s="110"/>
      <c r="ETY46"/>
      <c r="EUA46" s="110"/>
      <c r="EUC46"/>
      <c r="EUE46" s="110"/>
      <c r="EUG46"/>
      <c r="EUI46" s="110"/>
      <c r="EUK46"/>
      <c r="EUM46" s="110"/>
      <c r="EUO46"/>
      <c r="EUQ46" s="110"/>
      <c r="EUS46"/>
      <c r="EUU46" s="110"/>
      <c r="EUW46"/>
      <c r="EUY46" s="110"/>
      <c r="EVA46"/>
      <c r="EVC46" s="110"/>
      <c r="EVE46"/>
      <c r="EVG46" s="110"/>
      <c r="EVI46"/>
      <c r="EVK46" s="110"/>
      <c r="EVM46"/>
      <c r="EVO46" s="110"/>
      <c r="EVQ46"/>
      <c r="EVS46" s="110"/>
      <c r="EVU46"/>
      <c r="EVW46" s="110"/>
      <c r="EVY46"/>
      <c r="EWA46" s="110"/>
      <c r="EWC46"/>
      <c r="EWE46" s="110"/>
      <c r="EWG46"/>
      <c r="EWI46" s="110"/>
      <c r="EWK46"/>
      <c r="EWM46" s="110"/>
      <c r="EWO46"/>
      <c r="EWQ46" s="110"/>
      <c r="EWS46"/>
      <c r="EWU46" s="110"/>
      <c r="EWW46"/>
      <c r="EWY46" s="110"/>
      <c r="EXA46"/>
      <c r="EXC46" s="110"/>
      <c r="EXE46"/>
      <c r="EXG46" s="110"/>
      <c r="EXI46"/>
      <c r="EXK46" s="110"/>
      <c r="EXM46"/>
      <c r="EXO46" s="110"/>
      <c r="EXQ46"/>
      <c r="EXS46" s="110"/>
      <c r="EXU46"/>
      <c r="EXW46" s="110"/>
      <c r="EXY46"/>
      <c r="EYA46" s="110"/>
      <c r="EYC46"/>
      <c r="EYE46" s="110"/>
      <c r="EYG46"/>
      <c r="EYI46" s="110"/>
      <c r="EYK46"/>
      <c r="EYM46" s="110"/>
      <c r="EYO46"/>
      <c r="EYQ46" s="110"/>
      <c r="EYS46"/>
      <c r="EYU46" s="110"/>
      <c r="EYW46"/>
      <c r="EYY46" s="110"/>
      <c r="EZA46"/>
      <c r="EZC46" s="110"/>
      <c r="EZE46"/>
      <c r="EZG46" s="110"/>
      <c r="EZI46"/>
      <c r="EZK46" s="110"/>
      <c r="EZM46"/>
      <c r="EZO46" s="110"/>
      <c r="EZQ46"/>
      <c r="EZS46" s="110"/>
      <c r="EZU46"/>
      <c r="EZW46" s="110"/>
      <c r="EZY46"/>
      <c r="FAA46" s="110"/>
      <c r="FAC46"/>
      <c r="FAE46" s="110"/>
      <c r="FAG46"/>
      <c r="FAI46" s="110"/>
      <c r="FAK46"/>
      <c r="FAM46" s="110"/>
      <c r="FAO46"/>
      <c r="FAQ46" s="110"/>
      <c r="FAS46"/>
      <c r="FAU46" s="110"/>
      <c r="FAW46"/>
      <c r="FAY46" s="110"/>
      <c r="FBA46"/>
      <c r="FBC46" s="110"/>
      <c r="FBE46"/>
      <c r="FBG46" s="110"/>
      <c r="FBI46"/>
      <c r="FBK46" s="110"/>
      <c r="FBM46"/>
      <c r="FBO46" s="110"/>
      <c r="FBQ46"/>
      <c r="FBS46" s="110"/>
      <c r="FBU46"/>
      <c r="FBW46" s="110"/>
      <c r="FBY46"/>
      <c r="FCA46" s="110"/>
      <c r="FCC46"/>
      <c r="FCE46" s="110"/>
      <c r="FCG46"/>
      <c r="FCI46" s="110"/>
      <c r="FCK46"/>
      <c r="FCM46" s="110"/>
      <c r="FCO46"/>
      <c r="FCQ46" s="110"/>
      <c r="FCS46"/>
      <c r="FCU46" s="110"/>
      <c r="FCW46"/>
      <c r="FCY46" s="110"/>
      <c r="FDA46"/>
      <c r="FDC46" s="110"/>
      <c r="FDE46"/>
      <c r="FDG46" s="110"/>
      <c r="FDI46"/>
      <c r="FDK46" s="110"/>
      <c r="FDM46"/>
      <c r="FDO46" s="110"/>
      <c r="FDQ46"/>
      <c r="FDS46" s="110"/>
      <c r="FDU46"/>
      <c r="FDW46" s="110"/>
      <c r="FDY46"/>
      <c r="FEA46" s="110"/>
      <c r="FEC46"/>
      <c r="FEE46" s="110"/>
      <c r="FEG46"/>
      <c r="FEI46" s="110"/>
      <c r="FEK46"/>
      <c r="FEM46" s="110"/>
      <c r="FEO46"/>
      <c r="FEQ46" s="110"/>
      <c r="FES46"/>
      <c r="FEU46" s="110"/>
      <c r="FEW46"/>
      <c r="FEY46" s="110"/>
      <c r="FFA46"/>
      <c r="FFC46" s="110"/>
      <c r="FFE46"/>
      <c r="FFG46" s="110"/>
      <c r="FFI46"/>
      <c r="FFK46" s="110"/>
      <c r="FFM46"/>
      <c r="FFO46" s="110"/>
      <c r="FFQ46"/>
      <c r="FFS46" s="110"/>
      <c r="FFU46"/>
      <c r="FFW46" s="110"/>
      <c r="FFY46"/>
      <c r="FGA46" s="110"/>
      <c r="FGC46"/>
      <c r="FGE46" s="110"/>
      <c r="FGG46"/>
      <c r="FGI46" s="110"/>
      <c r="FGK46"/>
      <c r="FGM46" s="110"/>
      <c r="FGO46"/>
      <c r="FGQ46" s="110"/>
      <c r="FGS46"/>
      <c r="FGU46" s="110"/>
      <c r="FGW46"/>
      <c r="FGY46" s="110"/>
      <c r="FHA46"/>
      <c r="FHC46" s="110"/>
      <c r="FHE46"/>
      <c r="FHG46" s="110"/>
      <c r="FHI46"/>
      <c r="FHK46" s="110"/>
      <c r="FHM46"/>
      <c r="FHO46" s="110"/>
      <c r="FHQ46"/>
      <c r="FHS46" s="110"/>
      <c r="FHU46"/>
      <c r="FHW46" s="110"/>
      <c r="FHY46"/>
      <c r="FIA46" s="110"/>
      <c r="FIC46"/>
      <c r="FIE46" s="110"/>
      <c r="FIG46"/>
      <c r="FII46" s="110"/>
      <c r="FIK46"/>
      <c r="FIM46" s="110"/>
      <c r="FIO46"/>
      <c r="FIQ46" s="110"/>
      <c r="FIS46"/>
      <c r="FIU46" s="110"/>
      <c r="FIW46"/>
      <c r="FIY46" s="110"/>
      <c r="FJA46"/>
      <c r="FJC46" s="110"/>
      <c r="FJE46"/>
      <c r="FJG46" s="110"/>
      <c r="FJI46"/>
      <c r="FJK46" s="110"/>
      <c r="FJM46"/>
      <c r="FJO46" s="110"/>
      <c r="FJQ46"/>
      <c r="FJS46" s="110"/>
      <c r="FJU46"/>
      <c r="FJW46" s="110"/>
      <c r="FJY46"/>
      <c r="FKA46" s="110"/>
      <c r="FKC46"/>
      <c r="FKE46" s="110"/>
      <c r="FKG46"/>
      <c r="FKI46" s="110"/>
      <c r="FKK46"/>
      <c r="FKM46" s="110"/>
      <c r="FKO46"/>
      <c r="FKQ46" s="110"/>
      <c r="FKS46"/>
      <c r="FKU46" s="110"/>
      <c r="FKW46"/>
      <c r="FKY46" s="110"/>
      <c r="FLA46"/>
      <c r="FLC46" s="110"/>
      <c r="FLE46"/>
      <c r="FLG46" s="110"/>
      <c r="FLI46"/>
      <c r="FLK46" s="110"/>
      <c r="FLM46"/>
      <c r="FLO46" s="110"/>
      <c r="FLQ46"/>
      <c r="FLS46" s="110"/>
      <c r="FLU46"/>
      <c r="FLW46" s="110"/>
      <c r="FLY46"/>
      <c r="FMA46" s="110"/>
      <c r="FMC46"/>
      <c r="FME46" s="110"/>
      <c r="FMG46"/>
      <c r="FMI46" s="110"/>
      <c r="FMK46"/>
      <c r="FMM46" s="110"/>
      <c r="FMO46"/>
      <c r="FMQ46" s="110"/>
      <c r="FMS46"/>
      <c r="FMU46" s="110"/>
      <c r="FMW46"/>
      <c r="FMY46" s="110"/>
      <c r="FNA46"/>
      <c r="FNC46" s="110"/>
      <c r="FNE46"/>
      <c r="FNG46" s="110"/>
      <c r="FNI46"/>
      <c r="FNK46" s="110"/>
      <c r="FNM46"/>
      <c r="FNO46" s="110"/>
      <c r="FNQ46"/>
      <c r="FNS46" s="110"/>
      <c r="FNU46"/>
      <c r="FNW46" s="110"/>
      <c r="FNY46"/>
      <c r="FOA46" s="110"/>
      <c r="FOC46"/>
      <c r="FOE46" s="110"/>
      <c r="FOG46"/>
      <c r="FOI46" s="110"/>
      <c r="FOK46"/>
      <c r="FOM46" s="110"/>
      <c r="FOO46"/>
      <c r="FOQ46" s="110"/>
      <c r="FOS46"/>
      <c r="FOU46" s="110"/>
      <c r="FOW46"/>
      <c r="FOY46" s="110"/>
      <c r="FPA46"/>
      <c r="FPC46" s="110"/>
      <c r="FPE46"/>
      <c r="FPG46" s="110"/>
      <c r="FPI46"/>
      <c r="FPK46" s="110"/>
      <c r="FPM46"/>
      <c r="FPO46" s="110"/>
      <c r="FPQ46"/>
      <c r="FPS46" s="110"/>
      <c r="FPU46"/>
      <c r="FPW46" s="110"/>
      <c r="FPY46"/>
      <c r="FQA46" s="110"/>
      <c r="FQC46"/>
      <c r="FQE46" s="110"/>
      <c r="FQG46"/>
      <c r="FQI46" s="110"/>
      <c r="FQK46"/>
      <c r="FQM46" s="110"/>
      <c r="FQO46"/>
      <c r="FQQ46" s="110"/>
      <c r="FQS46"/>
      <c r="FQU46" s="110"/>
      <c r="FQW46"/>
      <c r="FQY46" s="110"/>
      <c r="FRA46"/>
      <c r="FRC46" s="110"/>
      <c r="FRE46"/>
      <c r="FRG46" s="110"/>
      <c r="FRI46"/>
      <c r="FRK46" s="110"/>
      <c r="FRM46"/>
      <c r="FRO46" s="110"/>
      <c r="FRQ46"/>
      <c r="FRS46" s="110"/>
      <c r="FRU46"/>
      <c r="FRW46" s="110"/>
      <c r="FRY46"/>
      <c r="FSA46" s="110"/>
      <c r="FSC46"/>
      <c r="FSE46" s="110"/>
      <c r="FSG46"/>
      <c r="FSI46" s="110"/>
      <c r="FSK46"/>
      <c r="FSM46" s="110"/>
      <c r="FSO46"/>
      <c r="FSQ46" s="110"/>
      <c r="FSS46"/>
      <c r="FSU46" s="110"/>
      <c r="FSW46"/>
      <c r="FSY46" s="110"/>
      <c r="FTA46"/>
      <c r="FTC46" s="110"/>
      <c r="FTE46"/>
      <c r="FTG46" s="110"/>
      <c r="FTI46"/>
      <c r="FTK46" s="110"/>
      <c r="FTM46"/>
      <c r="FTO46" s="110"/>
      <c r="FTQ46"/>
      <c r="FTS46" s="110"/>
      <c r="FTU46"/>
      <c r="FTW46" s="110"/>
      <c r="FTY46"/>
      <c r="FUA46" s="110"/>
      <c r="FUC46"/>
      <c r="FUE46" s="110"/>
      <c r="FUG46"/>
      <c r="FUI46" s="110"/>
      <c r="FUK46"/>
      <c r="FUM46" s="110"/>
      <c r="FUO46"/>
      <c r="FUQ46" s="110"/>
      <c r="FUS46"/>
      <c r="FUU46" s="110"/>
      <c r="FUW46"/>
      <c r="FUY46" s="110"/>
      <c r="FVA46"/>
      <c r="FVC46" s="110"/>
      <c r="FVE46"/>
      <c r="FVG46" s="110"/>
      <c r="FVI46"/>
      <c r="FVK46" s="110"/>
      <c r="FVM46"/>
      <c r="FVO46" s="110"/>
      <c r="FVQ46"/>
      <c r="FVS46" s="110"/>
      <c r="FVU46"/>
      <c r="FVW46" s="110"/>
      <c r="FVY46"/>
      <c r="FWA46" s="110"/>
      <c r="FWC46"/>
      <c r="FWE46" s="110"/>
      <c r="FWG46"/>
      <c r="FWI46" s="110"/>
      <c r="FWK46"/>
      <c r="FWM46" s="110"/>
      <c r="FWO46"/>
      <c r="FWQ46" s="110"/>
      <c r="FWS46"/>
      <c r="FWU46" s="110"/>
      <c r="FWW46"/>
      <c r="FWY46" s="110"/>
      <c r="FXA46"/>
      <c r="FXC46" s="110"/>
      <c r="FXE46"/>
      <c r="FXG46" s="110"/>
      <c r="FXI46"/>
      <c r="FXK46" s="110"/>
      <c r="FXM46"/>
      <c r="FXO46" s="110"/>
      <c r="FXQ46"/>
      <c r="FXS46" s="110"/>
      <c r="FXU46"/>
      <c r="FXW46" s="110"/>
      <c r="FXY46"/>
      <c r="FYA46" s="110"/>
      <c r="FYC46"/>
      <c r="FYE46" s="110"/>
      <c r="FYG46"/>
      <c r="FYI46" s="110"/>
      <c r="FYK46"/>
      <c r="FYM46" s="110"/>
      <c r="FYO46"/>
      <c r="FYQ46" s="110"/>
      <c r="FYS46"/>
      <c r="FYU46" s="110"/>
      <c r="FYW46"/>
      <c r="FYY46" s="110"/>
      <c r="FZA46"/>
      <c r="FZC46" s="110"/>
      <c r="FZE46"/>
      <c r="FZG46" s="110"/>
      <c r="FZI46"/>
      <c r="FZK46" s="110"/>
      <c r="FZM46"/>
      <c r="FZO46" s="110"/>
      <c r="FZQ46"/>
      <c r="FZS46" s="110"/>
      <c r="FZU46"/>
      <c r="FZW46" s="110"/>
      <c r="FZY46"/>
      <c r="GAA46" s="110"/>
      <c r="GAC46"/>
      <c r="GAE46" s="110"/>
      <c r="GAG46"/>
      <c r="GAI46" s="110"/>
      <c r="GAK46"/>
      <c r="GAM46" s="110"/>
      <c r="GAO46"/>
      <c r="GAQ46" s="110"/>
      <c r="GAS46"/>
      <c r="GAU46" s="110"/>
      <c r="GAW46"/>
      <c r="GAY46" s="110"/>
      <c r="GBA46"/>
      <c r="GBC46" s="110"/>
      <c r="GBE46"/>
      <c r="GBG46" s="110"/>
      <c r="GBI46"/>
      <c r="GBK46" s="110"/>
      <c r="GBM46"/>
      <c r="GBO46" s="110"/>
      <c r="GBQ46"/>
      <c r="GBS46" s="110"/>
      <c r="GBU46"/>
      <c r="GBW46" s="110"/>
      <c r="GBY46"/>
      <c r="GCA46" s="110"/>
      <c r="GCC46"/>
      <c r="GCE46" s="110"/>
      <c r="GCG46"/>
      <c r="GCI46" s="110"/>
      <c r="GCK46"/>
      <c r="GCM46" s="110"/>
      <c r="GCO46"/>
      <c r="GCQ46" s="110"/>
      <c r="GCS46"/>
      <c r="GCU46" s="110"/>
      <c r="GCW46"/>
      <c r="GCY46" s="110"/>
      <c r="GDA46"/>
      <c r="GDC46" s="110"/>
      <c r="GDE46"/>
      <c r="GDG46" s="110"/>
      <c r="GDI46"/>
      <c r="GDK46" s="110"/>
      <c r="GDM46"/>
      <c r="GDO46" s="110"/>
      <c r="GDQ46"/>
      <c r="GDS46" s="110"/>
      <c r="GDU46"/>
      <c r="GDW46" s="110"/>
      <c r="GDY46"/>
      <c r="GEA46" s="110"/>
      <c r="GEC46"/>
      <c r="GEE46" s="110"/>
      <c r="GEG46"/>
      <c r="GEI46" s="110"/>
      <c r="GEK46"/>
      <c r="GEM46" s="110"/>
      <c r="GEO46"/>
      <c r="GEQ46" s="110"/>
      <c r="GES46"/>
      <c r="GEU46" s="110"/>
      <c r="GEW46"/>
      <c r="GEY46" s="110"/>
      <c r="GFA46"/>
      <c r="GFC46" s="110"/>
      <c r="GFE46"/>
      <c r="GFG46" s="110"/>
      <c r="GFI46"/>
      <c r="GFK46" s="110"/>
      <c r="GFM46"/>
      <c r="GFO46" s="110"/>
      <c r="GFQ46"/>
      <c r="GFS46" s="110"/>
      <c r="GFU46"/>
      <c r="GFW46" s="110"/>
      <c r="GFY46"/>
      <c r="GGA46" s="110"/>
      <c r="GGC46"/>
      <c r="GGE46" s="110"/>
      <c r="GGG46"/>
      <c r="GGI46" s="110"/>
      <c r="GGK46"/>
      <c r="GGM46" s="110"/>
      <c r="GGO46"/>
      <c r="GGQ46" s="110"/>
      <c r="GGS46"/>
      <c r="GGU46" s="110"/>
      <c r="GGW46"/>
      <c r="GGY46" s="110"/>
      <c r="GHA46"/>
      <c r="GHC46" s="110"/>
      <c r="GHE46"/>
      <c r="GHG46" s="110"/>
      <c r="GHI46"/>
      <c r="GHK46" s="110"/>
      <c r="GHM46"/>
      <c r="GHO46" s="110"/>
      <c r="GHQ46"/>
      <c r="GHS46" s="110"/>
      <c r="GHU46"/>
      <c r="GHW46" s="110"/>
      <c r="GHY46"/>
      <c r="GIA46" s="110"/>
      <c r="GIC46"/>
      <c r="GIE46" s="110"/>
      <c r="GIG46"/>
      <c r="GII46" s="110"/>
      <c r="GIK46"/>
      <c r="GIM46" s="110"/>
      <c r="GIO46"/>
      <c r="GIQ46" s="110"/>
      <c r="GIS46"/>
      <c r="GIU46" s="110"/>
      <c r="GIW46"/>
      <c r="GIY46" s="110"/>
      <c r="GJA46"/>
      <c r="GJC46" s="110"/>
      <c r="GJE46"/>
      <c r="GJG46" s="110"/>
      <c r="GJI46"/>
      <c r="GJK46" s="110"/>
      <c r="GJM46"/>
      <c r="GJO46" s="110"/>
      <c r="GJQ46"/>
      <c r="GJS46" s="110"/>
      <c r="GJU46"/>
      <c r="GJW46" s="110"/>
      <c r="GJY46"/>
      <c r="GKA46" s="110"/>
      <c r="GKC46"/>
      <c r="GKE46" s="110"/>
      <c r="GKG46"/>
      <c r="GKI46" s="110"/>
      <c r="GKK46"/>
      <c r="GKM46" s="110"/>
      <c r="GKO46"/>
      <c r="GKQ46" s="110"/>
      <c r="GKS46"/>
      <c r="GKU46" s="110"/>
      <c r="GKW46"/>
      <c r="GKY46" s="110"/>
      <c r="GLA46"/>
      <c r="GLC46" s="110"/>
      <c r="GLE46"/>
      <c r="GLG46" s="110"/>
      <c r="GLI46"/>
      <c r="GLK46" s="110"/>
      <c r="GLM46"/>
      <c r="GLO46" s="110"/>
      <c r="GLQ46"/>
      <c r="GLS46" s="110"/>
      <c r="GLU46"/>
      <c r="GLW46" s="110"/>
      <c r="GLY46"/>
      <c r="GMA46" s="110"/>
      <c r="GMC46"/>
      <c r="GME46" s="110"/>
      <c r="GMG46"/>
      <c r="GMI46" s="110"/>
      <c r="GMK46"/>
      <c r="GMM46" s="110"/>
      <c r="GMO46"/>
      <c r="GMQ46" s="110"/>
      <c r="GMS46"/>
      <c r="GMU46" s="110"/>
      <c r="GMW46"/>
      <c r="GMY46" s="110"/>
      <c r="GNA46"/>
      <c r="GNC46" s="110"/>
      <c r="GNE46"/>
      <c r="GNG46" s="110"/>
      <c r="GNI46"/>
      <c r="GNK46" s="110"/>
      <c r="GNM46"/>
      <c r="GNO46" s="110"/>
      <c r="GNQ46"/>
      <c r="GNS46" s="110"/>
      <c r="GNU46"/>
      <c r="GNW46" s="110"/>
      <c r="GNY46"/>
      <c r="GOA46" s="110"/>
      <c r="GOC46"/>
      <c r="GOE46" s="110"/>
      <c r="GOG46"/>
      <c r="GOI46" s="110"/>
      <c r="GOK46"/>
      <c r="GOM46" s="110"/>
      <c r="GOO46"/>
      <c r="GOQ46" s="110"/>
      <c r="GOS46"/>
      <c r="GOU46" s="110"/>
      <c r="GOW46"/>
      <c r="GOY46" s="110"/>
      <c r="GPA46"/>
      <c r="GPC46" s="110"/>
      <c r="GPE46"/>
      <c r="GPG46" s="110"/>
      <c r="GPI46"/>
      <c r="GPK46" s="110"/>
      <c r="GPM46"/>
      <c r="GPO46" s="110"/>
      <c r="GPQ46"/>
      <c r="GPS46" s="110"/>
      <c r="GPU46"/>
      <c r="GPW46" s="110"/>
      <c r="GPY46"/>
      <c r="GQA46" s="110"/>
      <c r="GQC46"/>
      <c r="GQE46" s="110"/>
      <c r="GQG46"/>
      <c r="GQI46" s="110"/>
      <c r="GQK46"/>
      <c r="GQM46" s="110"/>
      <c r="GQO46"/>
      <c r="GQQ46" s="110"/>
      <c r="GQS46"/>
      <c r="GQU46" s="110"/>
      <c r="GQW46"/>
      <c r="GQY46" s="110"/>
      <c r="GRA46"/>
      <c r="GRC46" s="110"/>
      <c r="GRE46"/>
      <c r="GRG46" s="110"/>
      <c r="GRI46"/>
      <c r="GRK46" s="110"/>
      <c r="GRM46"/>
      <c r="GRO46" s="110"/>
      <c r="GRQ46"/>
      <c r="GRS46" s="110"/>
      <c r="GRU46"/>
      <c r="GRW46" s="110"/>
      <c r="GRY46"/>
      <c r="GSA46" s="110"/>
      <c r="GSC46"/>
      <c r="GSE46" s="110"/>
      <c r="GSG46"/>
      <c r="GSI46" s="110"/>
      <c r="GSK46"/>
      <c r="GSM46" s="110"/>
      <c r="GSO46"/>
      <c r="GSQ46" s="110"/>
      <c r="GSS46"/>
      <c r="GSU46" s="110"/>
      <c r="GSW46"/>
      <c r="GSY46" s="110"/>
      <c r="GTA46"/>
      <c r="GTC46" s="110"/>
      <c r="GTE46"/>
      <c r="GTG46" s="110"/>
      <c r="GTI46"/>
      <c r="GTK46" s="110"/>
      <c r="GTM46"/>
      <c r="GTO46" s="110"/>
      <c r="GTQ46"/>
      <c r="GTS46" s="110"/>
      <c r="GTU46"/>
      <c r="GTW46" s="110"/>
      <c r="GTY46"/>
      <c r="GUA46" s="110"/>
      <c r="GUC46"/>
      <c r="GUE46" s="110"/>
      <c r="GUG46"/>
      <c r="GUI46" s="110"/>
      <c r="GUK46"/>
      <c r="GUM46" s="110"/>
      <c r="GUO46"/>
      <c r="GUQ46" s="110"/>
      <c r="GUS46"/>
      <c r="GUU46" s="110"/>
      <c r="GUW46"/>
      <c r="GUY46" s="110"/>
      <c r="GVA46"/>
      <c r="GVC46" s="110"/>
      <c r="GVE46"/>
      <c r="GVG46" s="110"/>
      <c r="GVI46"/>
      <c r="GVK46" s="110"/>
      <c r="GVM46"/>
      <c r="GVO46" s="110"/>
      <c r="GVQ46"/>
      <c r="GVS46" s="110"/>
      <c r="GVU46"/>
      <c r="GVW46" s="110"/>
      <c r="GVY46"/>
      <c r="GWA46" s="110"/>
      <c r="GWC46"/>
      <c r="GWE46" s="110"/>
      <c r="GWG46"/>
      <c r="GWI46" s="110"/>
      <c r="GWK46"/>
      <c r="GWM46" s="110"/>
      <c r="GWO46"/>
      <c r="GWQ46" s="110"/>
      <c r="GWS46"/>
      <c r="GWU46" s="110"/>
      <c r="GWW46"/>
      <c r="GWY46" s="110"/>
      <c r="GXA46"/>
      <c r="GXC46" s="110"/>
      <c r="GXE46"/>
      <c r="GXG46" s="110"/>
      <c r="GXI46"/>
      <c r="GXK46" s="110"/>
      <c r="GXM46"/>
      <c r="GXO46" s="110"/>
      <c r="GXQ46"/>
      <c r="GXS46" s="110"/>
      <c r="GXU46"/>
      <c r="GXW46" s="110"/>
      <c r="GXY46"/>
      <c r="GYA46" s="110"/>
      <c r="GYC46"/>
      <c r="GYE46" s="110"/>
      <c r="GYG46"/>
      <c r="GYI46" s="110"/>
      <c r="GYK46"/>
      <c r="GYM46" s="110"/>
      <c r="GYO46"/>
      <c r="GYQ46" s="110"/>
      <c r="GYS46"/>
      <c r="GYU46" s="110"/>
      <c r="GYW46"/>
      <c r="GYY46" s="110"/>
      <c r="GZA46"/>
      <c r="GZC46" s="110"/>
      <c r="GZE46"/>
      <c r="GZG46" s="110"/>
      <c r="GZI46"/>
      <c r="GZK46" s="110"/>
      <c r="GZM46"/>
      <c r="GZO46" s="110"/>
      <c r="GZQ46"/>
      <c r="GZS46" s="110"/>
      <c r="GZU46"/>
      <c r="GZW46" s="110"/>
      <c r="GZY46"/>
      <c r="HAA46" s="110"/>
      <c r="HAC46"/>
      <c r="HAE46" s="110"/>
      <c r="HAG46"/>
      <c r="HAI46" s="110"/>
      <c r="HAK46"/>
      <c r="HAM46" s="110"/>
      <c r="HAO46"/>
      <c r="HAQ46" s="110"/>
      <c r="HAS46"/>
      <c r="HAU46" s="110"/>
      <c r="HAW46"/>
      <c r="HAY46" s="110"/>
      <c r="HBA46"/>
      <c r="HBC46" s="110"/>
      <c r="HBE46"/>
      <c r="HBG46" s="110"/>
      <c r="HBI46"/>
      <c r="HBK46" s="110"/>
      <c r="HBM46"/>
      <c r="HBO46" s="110"/>
      <c r="HBQ46"/>
      <c r="HBS46" s="110"/>
      <c r="HBU46"/>
      <c r="HBW46" s="110"/>
      <c r="HBY46"/>
      <c r="HCA46" s="110"/>
      <c r="HCC46"/>
      <c r="HCE46" s="110"/>
      <c r="HCG46"/>
      <c r="HCI46" s="110"/>
      <c r="HCK46"/>
      <c r="HCM46" s="110"/>
      <c r="HCO46"/>
      <c r="HCQ46" s="110"/>
      <c r="HCS46"/>
      <c r="HCU46" s="110"/>
      <c r="HCW46"/>
      <c r="HCY46" s="110"/>
      <c r="HDA46"/>
      <c r="HDC46" s="110"/>
      <c r="HDE46"/>
      <c r="HDG46" s="110"/>
      <c r="HDI46"/>
      <c r="HDK46" s="110"/>
      <c r="HDM46"/>
      <c r="HDO46" s="110"/>
      <c r="HDQ46"/>
      <c r="HDS46" s="110"/>
      <c r="HDU46"/>
      <c r="HDW46" s="110"/>
      <c r="HDY46"/>
      <c r="HEA46" s="110"/>
      <c r="HEC46"/>
      <c r="HEE46" s="110"/>
      <c r="HEG46"/>
      <c r="HEI46" s="110"/>
      <c r="HEK46"/>
      <c r="HEM46" s="110"/>
      <c r="HEO46"/>
      <c r="HEQ46" s="110"/>
      <c r="HES46"/>
      <c r="HEU46" s="110"/>
      <c r="HEW46"/>
      <c r="HEY46" s="110"/>
      <c r="HFA46"/>
      <c r="HFC46" s="110"/>
      <c r="HFE46"/>
      <c r="HFG46" s="110"/>
      <c r="HFI46"/>
      <c r="HFK46" s="110"/>
      <c r="HFM46"/>
      <c r="HFO46" s="110"/>
      <c r="HFQ46"/>
      <c r="HFS46" s="110"/>
      <c r="HFU46"/>
      <c r="HFW46" s="110"/>
      <c r="HFY46"/>
      <c r="HGA46" s="110"/>
      <c r="HGC46"/>
      <c r="HGE46" s="110"/>
      <c r="HGG46"/>
      <c r="HGI46" s="110"/>
      <c r="HGK46"/>
      <c r="HGM46" s="110"/>
      <c r="HGO46"/>
      <c r="HGQ46" s="110"/>
      <c r="HGS46"/>
      <c r="HGU46" s="110"/>
      <c r="HGW46"/>
      <c r="HGY46" s="110"/>
      <c r="HHA46"/>
      <c r="HHC46" s="110"/>
      <c r="HHE46"/>
      <c r="HHG46" s="110"/>
      <c r="HHI46"/>
      <c r="HHK46" s="110"/>
      <c r="HHM46"/>
      <c r="HHO46" s="110"/>
      <c r="HHQ46"/>
      <c r="HHS46" s="110"/>
      <c r="HHU46"/>
      <c r="HHW46" s="110"/>
      <c r="HHY46"/>
      <c r="HIA46" s="110"/>
      <c r="HIC46"/>
      <c r="HIE46" s="110"/>
      <c r="HIG46"/>
      <c r="HII46" s="110"/>
      <c r="HIK46"/>
      <c r="HIM46" s="110"/>
      <c r="HIO46"/>
      <c r="HIQ46" s="110"/>
      <c r="HIS46"/>
      <c r="HIU46" s="110"/>
      <c r="HIW46"/>
      <c r="HIY46" s="110"/>
      <c r="HJA46"/>
      <c r="HJC46" s="110"/>
      <c r="HJE46"/>
      <c r="HJG46" s="110"/>
      <c r="HJI46"/>
      <c r="HJK46" s="110"/>
      <c r="HJM46"/>
      <c r="HJO46" s="110"/>
      <c r="HJQ46"/>
      <c r="HJS46" s="110"/>
      <c r="HJU46"/>
      <c r="HJW46" s="110"/>
      <c r="HJY46"/>
      <c r="HKA46" s="110"/>
      <c r="HKC46"/>
      <c r="HKE46" s="110"/>
      <c r="HKG46"/>
      <c r="HKI46" s="110"/>
      <c r="HKK46"/>
      <c r="HKM46" s="110"/>
      <c r="HKO46"/>
      <c r="HKQ46" s="110"/>
      <c r="HKS46"/>
      <c r="HKU46" s="110"/>
      <c r="HKW46"/>
      <c r="HKY46" s="110"/>
      <c r="HLA46"/>
      <c r="HLC46" s="110"/>
      <c r="HLE46"/>
      <c r="HLG46" s="110"/>
      <c r="HLI46"/>
      <c r="HLK46" s="110"/>
      <c r="HLM46"/>
      <c r="HLO46" s="110"/>
      <c r="HLQ46"/>
      <c r="HLS46" s="110"/>
      <c r="HLU46"/>
      <c r="HLW46" s="110"/>
      <c r="HLY46"/>
      <c r="HMA46" s="110"/>
      <c r="HMC46"/>
      <c r="HME46" s="110"/>
      <c r="HMG46"/>
      <c r="HMI46" s="110"/>
      <c r="HMK46"/>
      <c r="HMM46" s="110"/>
      <c r="HMO46"/>
      <c r="HMQ46" s="110"/>
      <c r="HMS46"/>
      <c r="HMU46" s="110"/>
      <c r="HMW46"/>
      <c r="HMY46" s="110"/>
      <c r="HNA46"/>
      <c r="HNC46" s="110"/>
      <c r="HNE46"/>
      <c r="HNG46" s="110"/>
      <c r="HNI46"/>
      <c r="HNK46" s="110"/>
      <c r="HNM46"/>
      <c r="HNO46" s="110"/>
      <c r="HNQ46"/>
      <c r="HNS46" s="110"/>
      <c r="HNU46"/>
      <c r="HNW46" s="110"/>
      <c r="HNY46"/>
      <c r="HOA46" s="110"/>
      <c r="HOC46"/>
      <c r="HOE46" s="110"/>
      <c r="HOG46"/>
      <c r="HOI46" s="110"/>
      <c r="HOK46"/>
      <c r="HOM46" s="110"/>
      <c r="HOO46"/>
      <c r="HOQ46" s="110"/>
      <c r="HOS46"/>
      <c r="HOU46" s="110"/>
      <c r="HOW46"/>
      <c r="HOY46" s="110"/>
      <c r="HPA46"/>
      <c r="HPC46" s="110"/>
      <c r="HPE46"/>
      <c r="HPG46" s="110"/>
      <c r="HPI46"/>
      <c r="HPK46" s="110"/>
      <c r="HPM46"/>
      <c r="HPO46" s="110"/>
      <c r="HPQ46"/>
      <c r="HPS46" s="110"/>
      <c r="HPU46"/>
      <c r="HPW46" s="110"/>
      <c r="HPY46"/>
      <c r="HQA46" s="110"/>
      <c r="HQC46"/>
      <c r="HQE46" s="110"/>
      <c r="HQG46"/>
      <c r="HQI46" s="110"/>
      <c r="HQK46"/>
      <c r="HQM46" s="110"/>
      <c r="HQO46"/>
      <c r="HQQ46" s="110"/>
      <c r="HQS46"/>
      <c r="HQU46" s="110"/>
      <c r="HQW46"/>
      <c r="HQY46" s="110"/>
      <c r="HRA46"/>
      <c r="HRC46" s="110"/>
      <c r="HRE46"/>
      <c r="HRG46" s="110"/>
      <c r="HRI46"/>
      <c r="HRK46" s="110"/>
      <c r="HRM46"/>
      <c r="HRO46" s="110"/>
      <c r="HRQ46"/>
      <c r="HRS46" s="110"/>
      <c r="HRU46"/>
      <c r="HRW46" s="110"/>
      <c r="HRY46"/>
      <c r="HSA46" s="110"/>
      <c r="HSC46"/>
      <c r="HSE46" s="110"/>
      <c r="HSG46"/>
      <c r="HSI46" s="110"/>
      <c r="HSK46"/>
      <c r="HSM46" s="110"/>
      <c r="HSO46"/>
      <c r="HSQ46" s="110"/>
      <c r="HSS46"/>
      <c r="HSU46" s="110"/>
      <c r="HSW46"/>
      <c r="HSY46" s="110"/>
      <c r="HTA46"/>
      <c r="HTC46" s="110"/>
      <c r="HTE46"/>
      <c r="HTG46" s="110"/>
      <c r="HTI46"/>
      <c r="HTK46" s="110"/>
      <c r="HTM46"/>
      <c r="HTO46" s="110"/>
      <c r="HTQ46"/>
      <c r="HTS46" s="110"/>
      <c r="HTU46"/>
      <c r="HTW46" s="110"/>
      <c r="HTY46"/>
      <c r="HUA46" s="110"/>
      <c r="HUC46"/>
      <c r="HUE46" s="110"/>
      <c r="HUG46"/>
      <c r="HUI46" s="110"/>
      <c r="HUK46"/>
      <c r="HUM46" s="110"/>
      <c r="HUO46"/>
      <c r="HUQ46" s="110"/>
      <c r="HUS46"/>
      <c r="HUU46" s="110"/>
      <c r="HUW46"/>
      <c r="HUY46" s="110"/>
      <c r="HVA46"/>
      <c r="HVC46" s="110"/>
      <c r="HVE46"/>
      <c r="HVG46" s="110"/>
      <c r="HVI46"/>
      <c r="HVK46" s="110"/>
      <c r="HVM46"/>
      <c r="HVO46" s="110"/>
      <c r="HVQ46"/>
      <c r="HVS46" s="110"/>
      <c r="HVU46"/>
      <c r="HVW46" s="110"/>
      <c r="HVY46"/>
      <c r="HWA46" s="110"/>
      <c r="HWC46"/>
      <c r="HWE46" s="110"/>
      <c r="HWG46"/>
      <c r="HWI46" s="110"/>
      <c r="HWK46"/>
      <c r="HWM46" s="110"/>
      <c r="HWO46"/>
      <c r="HWQ46" s="110"/>
      <c r="HWS46"/>
      <c r="HWU46" s="110"/>
      <c r="HWW46"/>
      <c r="HWY46" s="110"/>
      <c r="HXA46"/>
      <c r="HXC46" s="110"/>
      <c r="HXE46"/>
      <c r="HXG46" s="110"/>
      <c r="HXI46"/>
      <c r="HXK46" s="110"/>
      <c r="HXM46"/>
      <c r="HXO46" s="110"/>
      <c r="HXQ46"/>
      <c r="HXS46" s="110"/>
      <c r="HXU46"/>
      <c r="HXW46" s="110"/>
      <c r="HXY46"/>
      <c r="HYA46" s="110"/>
      <c r="HYC46"/>
      <c r="HYE46" s="110"/>
      <c r="HYG46"/>
      <c r="HYI46" s="110"/>
      <c r="HYK46"/>
      <c r="HYM46" s="110"/>
      <c r="HYO46"/>
      <c r="HYQ46" s="110"/>
      <c r="HYS46"/>
      <c r="HYU46" s="110"/>
      <c r="HYW46"/>
      <c r="HYY46" s="110"/>
      <c r="HZA46"/>
      <c r="HZC46" s="110"/>
      <c r="HZE46"/>
      <c r="HZG46" s="110"/>
      <c r="HZI46"/>
      <c r="HZK46" s="110"/>
      <c r="HZM46"/>
      <c r="HZO46" s="110"/>
      <c r="HZQ46"/>
      <c r="HZS46" s="110"/>
      <c r="HZU46"/>
      <c r="HZW46" s="110"/>
      <c r="HZY46"/>
      <c r="IAA46" s="110"/>
      <c r="IAC46"/>
      <c r="IAE46" s="110"/>
      <c r="IAG46"/>
      <c r="IAI46" s="110"/>
      <c r="IAK46"/>
      <c r="IAM46" s="110"/>
      <c r="IAO46"/>
      <c r="IAQ46" s="110"/>
      <c r="IAS46"/>
      <c r="IAU46" s="110"/>
      <c r="IAW46"/>
      <c r="IAY46" s="110"/>
      <c r="IBA46"/>
      <c r="IBC46" s="110"/>
      <c r="IBE46"/>
      <c r="IBG46" s="110"/>
      <c r="IBI46"/>
      <c r="IBK46" s="110"/>
      <c r="IBM46"/>
      <c r="IBO46" s="110"/>
      <c r="IBQ46"/>
      <c r="IBS46" s="110"/>
      <c r="IBU46"/>
      <c r="IBW46" s="110"/>
      <c r="IBY46"/>
      <c r="ICA46" s="110"/>
      <c r="ICC46"/>
      <c r="ICE46" s="110"/>
      <c r="ICG46"/>
      <c r="ICI46" s="110"/>
      <c r="ICK46"/>
      <c r="ICM46" s="110"/>
      <c r="ICO46"/>
      <c r="ICQ46" s="110"/>
      <c r="ICS46"/>
      <c r="ICU46" s="110"/>
      <c r="ICW46"/>
      <c r="ICY46" s="110"/>
      <c r="IDA46"/>
      <c r="IDC46" s="110"/>
      <c r="IDE46"/>
      <c r="IDG46" s="110"/>
      <c r="IDI46"/>
      <c r="IDK46" s="110"/>
      <c r="IDM46"/>
      <c r="IDO46" s="110"/>
      <c r="IDQ46"/>
      <c r="IDS46" s="110"/>
      <c r="IDU46"/>
      <c r="IDW46" s="110"/>
      <c r="IDY46"/>
      <c r="IEA46" s="110"/>
      <c r="IEC46"/>
      <c r="IEE46" s="110"/>
      <c r="IEG46"/>
      <c r="IEI46" s="110"/>
      <c r="IEK46"/>
      <c r="IEM46" s="110"/>
      <c r="IEO46"/>
      <c r="IEQ46" s="110"/>
      <c r="IES46"/>
      <c r="IEU46" s="110"/>
      <c r="IEW46"/>
      <c r="IEY46" s="110"/>
      <c r="IFA46"/>
      <c r="IFC46" s="110"/>
      <c r="IFE46"/>
      <c r="IFG46" s="110"/>
      <c r="IFI46"/>
      <c r="IFK46" s="110"/>
      <c r="IFM46"/>
      <c r="IFO46" s="110"/>
      <c r="IFQ46"/>
      <c r="IFS46" s="110"/>
      <c r="IFU46"/>
      <c r="IFW46" s="110"/>
      <c r="IFY46"/>
      <c r="IGA46" s="110"/>
      <c r="IGC46"/>
      <c r="IGE46" s="110"/>
      <c r="IGG46"/>
      <c r="IGI46" s="110"/>
      <c r="IGK46"/>
      <c r="IGM46" s="110"/>
      <c r="IGO46"/>
      <c r="IGQ46" s="110"/>
      <c r="IGS46"/>
      <c r="IGU46" s="110"/>
      <c r="IGW46"/>
      <c r="IGY46" s="110"/>
      <c r="IHA46"/>
      <c r="IHC46" s="110"/>
      <c r="IHE46"/>
      <c r="IHG46" s="110"/>
      <c r="IHI46"/>
      <c r="IHK46" s="110"/>
      <c r="IHM46"/>
      <c r="IHO46" s="110"/>
      <c r="IHQ46"/>
      <c r="IHS46" s="110"/>
      <c r="IHU46"/>
      <c r="IHW46" s="110"/>
      <c r="IHY46"/>
      <c r="IIA46" s="110"/>
      <c r="IIC46"/>
      <c r="IIE46" s="110"/>
      <c r="IIG46"/>
      <c r="III46" s="110"/>
      <c r="IIK46"/>
      <c r="IIM46" s="110"/>
      <c r="IIO46"/>
      <c r="IIQ46" s="110"/>
      <c r="IIS46"/>
      <c r="IIU46" s="110"/>
      <c r="IIW46"/>
      <c r="IIY46" s="110"/>
      <c r="IJA46"/>
      <c r="IJC46" s="110"/>
      <c r="IJE46"/>
      <c r="IJG46" s="110"/>
      <c r="IJI46"/>
      <c r="IJK46" s="110"/>
      <c r="IJM46"/>
      <c r="IJO46" s="110"/>
      <c r="IJQ46"/>
      <c r="IJS46" s="110"/>
      <c r="IJU46"/>
      <c r="IJW46" s="110"/>
      <c r="IJY46"/>
      <c r="IKA46" s="110"/>
      <c r="IKC46"/>
      <c r="IKE46" s="110"/>
      <c r="IKG46"/>
      <c r="IKI46" s="110"/>
      <c r="IKK46"/>
      <c r="IKM46" s="110"/>
      <c r="IKO46"/>
      <c r="IKQ46" s="110"/>
      <c r="IKS46"/>
      <c r="IKU46" s="110"/>
      <c r="IKW46"/>
      <c r="IKY46" s="110"/>
      <c r="ILA46"/>
      <c r="ILC46" s="110"/>
      <c r="ILE46"/>
      <c r="ILG46" s="110"/>
      <c r="ILI46"/>
      <c r="ILK46" s="110"/>
      <c r="ILM46"/>
      <c r="ILO46" s="110"/>
      <c r="ILQ46"/>
      <c r="ILS46" s="110"/>
      <c r="ILU46"/>
      <c r="ILW46" s="110"/>
      <c r="ILY46"/>
      <c r="IMA46" s="110"/>
      <c r="IMC46"/>
      <c r="IME46" s="110"/>
      <c r="IMG46"/>
      <c r="IMI46" s="110"/>
      <c r="IMK46"/>
      <c r="IMM46" s="110"/>
      <c r="IMO46"/>
      <c r="IMQ46" s="110"/>
      <c r="IMS46"/>
      <c r="IMU46" s="110"/>
      <c r="IMW46"/>
      <c r="IMY46" s="110"/>
      <c r="INA46"/>
      <c r="INC46" s="110"/>
      <c r="INE46"/>
      <c r="ING46" s="110"/>
      <c r="INI46"/>
      <c r="INK46" s="110"/>
      <c r="INM46"/>
      <c r="INO46" s="110"/>
      <c r="INQ46"/>
      <c r="INS46" s="110"/>
      <c r="INU46"/>
      <c r="INW46" s="110"/>
      <c r="INY46"/>
      <c r="IOA46" s="110"/>
      <c r="IOC46"/>
      <c r="IOE46" s="110"/>
      <c r="IOG46"/>
      <c r="IOI46" s="110"/>
      <c r="IOK46"/>
      <c r="IOM46" s="110"/>
      <c r="IOO46"/>
      <c r="IOQ46" s="110"/>
      <c r="IOS46"/>
      <c r="IOU46" s="110"/>
      <c r="IOW46"/>
      <c r="IOY46" s="110"/>
      <c r="IPA46"/>
      <c r="IPC46" s="110"/>
      <c r="IPE46"/>
      <c r="IPG46" s="110"/>
      <c r="IPI46"/>
      <c r="IPK46" s="110"/>
      <c r="IPM46"/>
      <c r="IPO46" s="110"/>
      <c r="IPQ46"/>
      <c r="IPS46" s="110"/>
      <c r="IPU46"/>
      <c r="IPW46" s="110"/>
      <c r="IPY46"/>
      <c r="IQA46" s="110"/>
      <c r="IQC46"/>
      <c r="IQE46" s="110"/>
      <c r="IQG46"/>
      <c r="IQI46" s="110"/>
      <c r="IQK46"/>
      <c r="IQM46" s="110"/>
      <c r="IQO46"/>
      <c r="IQQ46" s="110"/>
      <c r="IQS46"/>
      <c r="IQU46" s="110"/>
      <c r="IQW46"/>
      <c r="IQY46" s="110"/>
      <c r="IRA46"/>
      <c r="IRC46" s="110"/>
      <c r="IRE46"/>
      <c r="IRG46" s="110"/>
      <c r="IRI46"/>
      <c r="IRK46" s="110"/>
      <c r="IRM46"/>
      <c r="IRO46" s="110"/>
      <c r="IRQ46"/>
      <c r="IRS46" s="110"/>
      <c r="IRU46"/>
      <c r="IRW46" s="110"/>
      <c r="IRY46"/>
      <c r="ISA46" s="110"/>
      <c r="ISC46"/>
      <c r="ISE46" s="110"/>
      <c r="ISG46"/>
      <c r="ISI46" s="110"/>
      <c r="ISK46"/>
      <c r="ISM46" s="110"/>
      <c r="ISO46"/>
      <c r="ISQ46" s="110"/>
      <c r="ISS46"/>
      <c r="ISU46" s="110"/>
      <c r="ISW46"/>
      <c r="ISY46" s="110"/>
      <c r="ITA46"/>
      <c r="ITC46" s="110"/>
      <c r="ITE46"/>
      <c r="ITG46" s="110"/>
      <c r="ITI46"/>
      <c r="ITK46" s="110"/>
      <c r="ITM46"/>
      <c r="ITO46" s="110"/>
      <c r="ITQ46"/>
      <c r="ITS46" s="110"/>
      <c r="ITU46"/>
      <c r="ITW46" s="110"/>
      <c r="ITY46"/>
      <c r="IUA46" s="110"/>
      <c r="IUC46"/>
      <c r="IUE46" s="110"/>
      <c r="IUG46"/>
      <c r="IUI46" s="110"/>
      <c r="IUK46"/>
      <c r="IUM46" s="110"/>
      <c r="IUO46"/>
      <c r="IUQ46" s="110"/>
      <c r="IUS46"/>
      <c r="IUU46" s="110"/>
      <c r="IUW46"/>
      <c r="IUY46" s="110"/>
      <c r="IVA46"/>
      <c r="IVC46" s="110"/>
      <c r="IVE46"/>
      <c r="IVG46" s="110"/>
      <c r="IVI46"/>
      <c r="IVK46" s="110"/>
      <c r="IVM46"/>
      <c r="IVO46" s="110"/>
      <c r="IVQ46"/>
      <c r="IVS46" s="110"/>
      <c r="IVU46"/>
      <c r="IVW46" s="110"/>
      <c r="IVY46"/>
      <c r="IWA46" s="110"/>
      <c r="IWC46"/>
      <c r="IWE46" s="110"/>
      <c r="IWG46"/>
      <c r="IWI46" s="110"/>
      <c r="IWK46"/>
      <c r="IWM46" s="110"/>
      <c r="IWO46"/>
      <c r="IWQ46" s="110"/>
      <c r="IWS46"/>
      <c r="IWU46" s="110"/>
      <c r="IWW46"/>
      <c r="IWY46" s="110"/>
      <c r="IXA46"/>
      <c r="IXC46" s="110"/>
      <c r="IXE46"/>
      <c r="IXG46" s="110"/>
      <c r="IXI46"/>
      <c r="IXK46" s="110"/>
      <c r="IXM46"/>
      <c r="IXO46" s="110"/>
      <c r="IXQ46"/>
      <c r="IXS46" s="110"/>
      <c r="IXU46"/>
      <c r="IXW46" s="110"/>
      <c r="IXY46"/>
      <c r="IYA46" s="110"/>
      <c r="IYC46"/>
      <c r="IYE46" s="110"/>
      <c r="IYG46"/>
      <c r="IYI46" s="110"/>
      <c r="IYK46"/>
      <c r="IYM46" s="110"/>
      <c r="IYO46"/>
      <c r="IYQ46" s="110"/>
      <c r="IYS46"/>
      <c r="IYU46" s="110"/>
      <c r="IYW46"/>
      <c r="IYY46" s="110"/>
      <c r="IZA46"/>
      <c r="IZC46" s="110"/>
      <c r="IZE46"/>
      <c r="IZG46" s="110"/>
      <c r="IZI46"/>
      <c r="IZK46" s="110"/>
      <c r="IZM46"/>
      <c r="IZO46" s="110"/>
      <c r="IZQ46"/>
      <c r="IZS46" s="110"/>
      <c r="IZU46"/>
      <c r="IZW46" s="110"/>
      <c r="IZY46"/>
      <c r="JAA46" s="110"/>
      <c r="JAC46"/>
      <c r="JAE46" s="110"/>
      <c r="JAG46"/>
      <c r="JAI46" s="110"/>
      <c r="JAK46"/>
      <c r="JAM46" s="110"/>
      <c r="JAO46"/>
      <c r="JAQ46" s="110"/>
      <c r="JAS46"/>
      <c r="JAU46" s="110"/>
      <c r="JAW46"/>
      <c r="JAY46" s="110"/>
      <c r="JBA46"/>
      <c r="JBC46" s="110"/>
      <c r="JBE46"/>
      <c r="JBG46" s="110"/>
      <c r="JBI46"/>
      <c r="JBK46" s="110"/>
      <c r="JBM46"/>
      <c r="JBO46" s="110"/>
      <c r="JBQ46"/>
      <c r="JBS46" s="110"/>
      <c r="JBU46"/>
      <c r="JBW46" s="110"/>
      <c r="JBY46"/>
      <c r="JCA46" s="110"/>
      <c r="JCC46"/>
      <c r="JCE46" s="110"/>
      <c r="JCG46"/>
      <c r="JCI46" s="110"/>
      <c r="JCK46"/>
      <c r="JCM46" s="110"/>
      <c r="JCO46"/>
      <c r="JCQ46" s="110"/>
      <c r="JCS46"/>
      <c r="JCU46" s="110"/>
      <c r="JCW46"/>
      <c r="JCY46" s="110"/>
      <c r="JDA46"/>
      <c r="JDC46" s="110"/>
      <c r="JDE46"/>
      <c r="JDG46" s="110"/>
      <c r="JDI46"/>
      <c r="JDK46" s="110"/>
      <c r="JDM46"/>
      <c r="JDO46" s="110"/>
      <c r="JDQ46"/>
      <c r="JDS46" s="110"/>
      <c r="JDU46"/>
      <c r="JDW46" s="110"/>
      <c r="JDY46"/>
      <c r="JEA46" s="110"/>
      <c r="JEC46"/>
      <c r="JEE46" s="110"/>
      <c r="JEG46"/>
      <c r="JEI46" s="110"/>
      <c r="JEK46"/>
      <c r="JEM46" s="110"/>
      <c r="JEO46"/>
      <c r="JEQ46" s="110"/>
      <c r="JES46"/>
      <c r="JEU46" s="110"/>
      <c r="JEW46"/>
      <c r="JEY46" s="110"/>
      <c r="JFA46"/>
      <c r="JFC46" s="110"/>
      <c r="JFE46"/>
      <c r="JFG46" s="110"/>
      <c r="JFI46"/>
      <c r="JFK46" s="110"/>
      <c r="JFM46"/>
      <c r="JFO46" s="110"/>
      <c r="JFQ46"/>
      <c r="JFS46" s="110"/>
      <c r="JFU46"/>
      <c r="JFW46" s="110"/>
      <c r="JFY46"/>
      <c r="JGA46" s="110"/>
      <c r="JGC46"/>
      <c r="JGE46" s="110"/>
      <c r="JGG46"/>
      <c r="JGI46" s="110"/>
      <c r="JGK46"/>
      <c r="JGM46" s="110"/>
      <c r="JGO46"/>
      <c r="JGQ46" s="110"/>
      <c r="JGS46"/>
      <c r="JGU46" s="110"/>
      <c r="JGW46"/>
      <c r="JGY46" s="110"/>
      <c r="JHA46"/>
      <c r="JHC46" s="110"/>
      <c r="JHE46"/>
      <c r="JHG46" s="110"/>
      <c r="JHI46"/>
      <c r="JHK46" s="110"/>
      <c r="JHM46"/>
      <c r="JHO46" s="110"/>
      <c r="JHQ46"/>
      <c r="JHS46" s="110"/>
      <c r="JHU46"/>
      <c r="JHW46" s="110"/>
      <c r="JHY46"/>
      <c r="JIA46" s="110"/>
      <c r="JIC46"/>
      <c r="JIE46" s="110"/>
      <c r="JIG46"/>
      <c r="JII46" s="110"/>
      <c r="JIK46"/>
      <c r="JIM46" s="110"/>
      <c r="JIO46"/>
      <c r="JIQ46" s="110"/>
      <c r="JIS46"/>
      <c r="JIU46" s="110"/>
      <c r="JIW46"/>
      <c r="JIY46" s="110"/>
      <c r="JJA46"/>
      <c r="JJC46" s="110"/>
      <c r="JJE46"/>
      <c r="JJG46" s="110"/>
      <c r="JJI46"/>
      <c r="JJK46" s="110"/>
      <c r="JJM46"/>
      <c r="JJO46" s="110"/>
      <c r="JJQ46"/>
      <c r="JJS46" s="110"/>
      <c r="JJU46"/>
      <c r="JJW46" s="110"/>
      <c r="JJY46"/>
      <c r="JKA46" s="110"/>
      <c r="JKC46"/>
      <c r="JKE46" s="110"/>
      <c r="JKG46"/>
      <c r="JKI46" s="110"/>
      <c r="JKK46"/>
      <c r="JKM46" s="110"/>
      <c r="JKO46"/>
      <c r="JKQ46" s="110"/>
      <c r="JKS46"/>
      <c r="JKU46" s="110"/>
      <c r="JKW46"/>
      <c r="JKY46" s="110"/>
      <c r="JLA46"/>
      <c r="JLC46" s="110"/>
      <c r="JLE46"/>
      <c r="JLG46" s="110"/>
      <c r="JLI46"/>
      <c r="JLK46" s="110"/>
      <c r="JLM46"/>
      <c r="JLO46" s="110"/>
      <c r="JLQ46"/>
      <c r="JLS46" s="110"/>
      <c r="JLU46"/>
      <c r="JLW46" s="110"/>
      <c r="JLY46"/>
      <c r="JMA46" s="110"/>
      <c r="JMC46"/>
      <c r="JME46" s="110"/>
      <c r="JMG46"/>
      <c r="JMI46" s="110"/>
      <c r="JMK46"/>
      <c r="JMM46" s="110"/>
      <c r="JMO46"/>
      <c r="JMQ46" s="110"/>
      <c r="JMS46"/>
      <c r="JMU46" s="110"/>
      <c r="JMW46"/>
      <c r="JMY46" s="110"/>
      <c r="JNA46"/>
      <c r="JNC46" s="110"/>
      <c r="JNE46"/>
      <c r="JNG46" s="110"/>
      <c r="JNI46"/>
      <c r="JNK46" s="110"/>
      <c r="JNM46"/>
      <c r="JNO46" s="110"/>
      <c r="JNQ46"/>
      <c r="JNS46" s="110"/>
      <c r="JNU46"/>
      <c r="JNW46" s="110"/>
      <c r="JNY46"/>
      <c r="JOA46" s="110"/>
      <c r="JOC46"/>
      <c r="JOE46" s="110"/>
      <c r="JOG46"/>
      <c r="JOI46" s="110"/>
      <c r="JOK46"/>
      <c r="JOM46" s="110"/>
      <c r="JOO46"/>
      <c r="JOQ46" s="110"/>
      <c r="JOS46"/>
      <c r="JOU46" s="110"/>
      <c r="JOW46"/>
      <c r="JOY46" s="110"/>
      <c r="JPA46"/>
      <c r="JPC46" s="110"/>
      <c r="JPE46"/>
      <c r="JPG46" s="110"/>
      <c r="JPI46"/>
      <c r="JPK46" s="110"/>
      <c r="JPM46"/>
      <c r="JPO46" s="110"/>
      <c r="JPQ46"/>
      <c r="JPS46" s="110"/>
      <c r="JPU46"/>
      <c r="JPW46" s="110"/>
      <c r="JPY46"/>
      <c r="JQA46" s="110"/>
      <c r="JQC46"/>
      <c r="JQE46" s="110"/>
      <c r="JQG46"/>
      <c r="JQI46" s="110"/>
      <c r="JQK46"/>
      <c r="JQM46" s="110"/>
      <c r="JQO46"/>
      <c r="JQQ46" s="110"/>
      <c r="JQS46"/>
      <c r="JQU46" s="110"/>
      <c r="JQW46"/>
      <c r="JQY46" s="110"/>
      <c r="JRA46"/>
      <c r="JRC46" s="110"/>
      <c r="JRE46"/>
      <c r="JRG46" s="110"/>
      <c r="JRI46"/>
      <c r="JRK46" s="110"/>
      <c r="JRM46"/>
      <c r="JRO46" s="110"/>
      <c r="JRQ46"/>
      <c r="JRS46" s="110"/>
      <c r="JRU46"/>
      <c r="JRW46" s="110"/>
      <c r="JRY46"/>
      <c r="JSA46" s="110"/>
      <c r="JSC46"/>
      <c r="JSE46" s="110"/>
      <c r="JSG46"/>
      <c r="JSI46" s="110"/>
      <c r="JSK46"/>
      <c r="JSM46" s="110"/>
      <c r="JSO46"/>
      <c r="JSQ46" s="110"/>
      <c r="JSS46"/>
      <c r="JSU46" s="110"/>
      <c r="JSW46"/>
      <c r="JSY46" s="110"/>
      <c r="JTA46"/>
      <c r="JTC46" s="110"/>
      <c r="JTE46"/>
      <c r="JTG46" s="110"/>
      <c r="JTI46"/>
      <c r="JTK46" s="110"/>
      <c r="JTM46"/>
      <c r="JTO46" s="110"/>
      <c r="JTQ46"/>
      <c r="JTS46" s="110"/>
      <c r="JTU46"/>
      <c r="JTW46" s="110"/>
      <c r="JTY46"/>
      <c r="JUA46" s="110"/>
      <c r="JUC46"/>
      <c r="JUE46" s="110"/>
      <c r="JUG46"/>
      <c r="JUI46" s="110"/>
      <c r="JUK46"/>
      <c r="JUM46" s="110"/>
      <c r="JUO46"/>
      <c r="JUQ46" s="110"/>
      <c r="JUS46"/>
      <c r="JUU46" s="110"/>
      <c r="JUW46"/>
      <c r="JUY46" s="110"/>
      <c r="JVA46"/>
      <c r="JVC46" s="110"/>
      <c r="JVE46"/>
      <c r="JVG46" s="110"/>
      <c r="JVI46"/>
      <c r="JVK46" s="110"/>
      <c r="JVM46"/>
      <c r="JVO46" s="110"/>
      <c r="JVQ46"/>
      <c r="JVS46" s="110"/>
      <c r="JVU46"/>
      <c r="JVW46" s="110"/>
      <c r="JVY46"/>
      <c r="JWA46" s="110"/>
      <c r="JWC46"/>
      <c r="JWE46" s="110"/>
      <c r="JWG46"/>
      <c r="JWI46" s="110"/>
      <c r="JWK46"/>
      <c r="JWM46" s="110"/>
      <c r="JWO46"/>
      <c r="JWQ46" s="110"/>
      <c r="JWS46"/>
      <c r="JWU46" s="110"/>
      <c r="JWW46"/>
      <c r="JWY46" s="110"/>
      <c r="JXA46"/>
      <c r="JXC46" s="110"/>
      <c r="JXE46"/>
      <c r="JXG46" s="110"/>
      <c r="JXI46"/>
      <c r="JXK46" s="110"/>
      <c r="JXM46"/>
      <c r="JXO46" s="110"/>
      <c r="JXQ46"/>
      <c r="JXS46" s="110"/>
      <c r="JXU46"/>
      <c r="JXW46" s="110"/>
      <c r="JXY46"/>
      <c r="JYA46" s="110"/>
      <c r="JYC46"/>
      <c r="JYE46" s="110"/>
      <c r="JYG46"/>
      <c r="JYI46" s="110"/>
      <c r="JYK46"/>
      <c r="JYM46" s="110"/>
      <c r="JYO46"/>
      <c r="JYQ46" s="110"/>
      <c r="JYS46"/>
      <c r="JYU46" s="110"/>
      <c r="JYW46"/>
      <c r="JYY46" s="110"/>
      <c r="JZA46"/>
      <c r="JZC46" s="110"/>
      <c r="JZE46"/>
      <c r="JZG46" s="110"/>
      <c r="JZI46"/>
      <c r="JZK46" s="110"/>
      <c r="JZM46"/>
      <c r="JZO46" s="110"/>
      <c r="JZQ46"/>
      <c r="JZS46" s="110"/>
      <c r="JZU46"/>
      <c r="JZW46" s="110"/>
      <c r="JZY46"/>
      <c r="KAA46" s="110"/>
      <c r="KAC46"/>
      <c r="KAE46" s="110"/>
      <c r="KAG46"/>
      <c r="KAI46" s="110"/>
      <c r="KAK46"/>
      <c r="KAM46" s="110"/>
      <c r="KAO46"/>
      <c r="KAQ46" s="110"/>
      <c r="KAS46"/>
      <c r="KAU46" s="110"/>
      <c r="KAW46"/>
      <c r="KAY46" s="110"/>
      <c r="KBA46"/>
      <c r="KBC46" s="110"/>
      <c r="KBE46"/>
      <c r="KBG46" s="110"/>
      <c r="KBI46"/>
      <c r="KBK46" s="110"/>
      <c r="KBM46"/>
      <c r="KBO46" s="110"/>
      <c r="KBQ46"/>
      <c r="KBS46" s="110"/>
      <c r="KBU46"/>
      <c r="KBW46" s="110"/>
      <c r="KBY46"/>
      <c r="KCA46" s="110"/>
      <c r="KCC46"/>
      <c r="KCE46" s="110"/>
      <c r="KCG46"/>
      <c r="KCI46" s="110"/>
      <c r="KCK46"/>
      <c r="KCM46" s="110"/>
      <c r="KCO46"/>
      <c r="KCQ46" s="110"/>
      <c r="KCS46"/>
      <c r="KCU46" s="110"/>
      <c r="KCW46"/>
      <c r="KCY46" s="110"/>
      <c r="KDA46"/>
      <c r="KDC46" s="110"/>
      <c r="KDE46"/>
      <c r="KDG46" s="110"/>
      <c r="KDI46"/>
      <c r="KDK46" s="110"/>
      <c r="KDM46"/>
      <c r="KDO46" s="110"/>
      <c r="KDQ46"/>
      <c r="KDS46" s="110"/>
      <c r="KDU46"/>
      <c r="KDW46" s="110"/>
      <c r="KDY46"/>
      <c r="KEA46" s="110"/>
      <c r="KEC46"/>
      <c r="KEE46" s="110"/>
      <c r="KEG46"/>
      <c r="KEI46" s="110"/>
      <c r="KEK46"/>
      <c r="KEM46" s="110"/>
      <c r="KEO46"/>
      <c r="KEQ46" s="110"/>
      <c r="KES46"/>
      <c r="KEU46" s="110"/>
      <c r="KEW46"/>
      <c r="KEY46" s="110"/>
      <c r="KFA46"/>
      <c r="KFC46" s="110"/>
      <c r="KFE46"/>
      <c r="KFG46" s="110"/>
      <c r="KFI46"/>
      <c r="KFK46" s="110"/>
      <c r="KFM46"/>
      <c r="KFO46" s="110"/>
      <c r="KFQ46"/>
      <c r="KFS46" s="110"/>
      <c r="KFU46"/>
      <c r="KFW46" s="110"/>
      <c r="KFY46"/>
      <c r="KGA46" s="110"/>
      <c r="KGC46"/>
      <c r="KGE46" s="110"/>
      <c r="KGG46"/>
      <c r="KGI46" s="110"/>
      <c r="KGK46"/>
      <c r="KGM46" s="110"/>
      <c r="KGO46"/>
      <c r="KGQ46" s="110"/>
      <c r="KGS46"/>
      <c r="KGU46" s="110"/>
      <c r="KGW46"/>
      <c r="KGY46" s="110"/>
      <c r="KHA46"/>
      <c r="KHC46" s="110"/>
      <c r="KHE46"/>
      <c r="KHG46" s="110"/>
      <c r="KHI46"/>
      <c r="KHK46" s="110"/>
      <c r="KHM46"/>
      <c r="KHO46" s="110"/>
      <c r="KHQ46"/>
      <c r="KHS46" s="110"/>
      <c r="KHU46"/>
      <c r="KHW46" s="110"/>
      <c r="KHY46"/>
      <c r="KIA46" s="110"/>
      <c r="KIC46"/>
      <c r="KIE46" s="110"/>
      <c r="KIG46"/>
      <c r="KII46" s="110"/>
      <c r="KIK46"/>
      <c r="KIM46" s="110"/>
      <c r="KIO46"/>
      <c r="KIQ46" s="110"/>
      <c r="KIS46"/>
      <c r="KIU46" s="110"/>
      <c r="KIW46"/>
      <c r="KIY46" s="110"/>
      <c r="KJA46"/>
      <c r="KJC46" s="110"/>
      <c r="KJE46"/>
      <c r="KJG46" s="110"/>
      <c r="KJI46"/>
      <c r="KJK46" s="110"/>
      <c r="KJM46"/>
      <c r="KJO46" s="110"/>
      <c r="KJQ46"/>
      <c r="KJS46" s="110"/>
      <c r="KJU46"/>
      <c r="KJW46" s="110"/>
      <c r="KJY46"/>
      <c r="KKA46" s="110"/>
      <c r="KKC46"/>
      <c r="KKE46" s="110"/>
      <c r="KKG46"/>
      <c r="KKI46" s="110"/>
      <c r="KKK46"/>
      <c r="KKM46" s="110"/>
      <c r="KKO46"/>
      <c r="KKQ46" s="110"/>
      <c r="KKS46"/>
      <c r="KKU46" s="110"/>
      <c r="KKW46"/>
      <c r="KKY46" s="110"/>
      <c r="KLA46"/>
      <c r="KLC46" s="110"/>
      <c r="KLE46"/>
      <c r="KLG46" s="110"/>
      <c r="KLI46"/>
      <c r="KLK46" s="110"/>
      <c r="KLM46"/>
      <c r="KLO46" s="110"/>
      <c r="KLQ46"/>
      <c r="KLS46" s="110"/>
      <c r="KLU46"/>
      <c r="KLW46" s="110"/>
      <c r="KLY46"/>
      <c r="KMA46" s="110"/>
      <c r="KMC46"/>
      <c r="KME46" s="110"/>
      <c r="KMG46"/>
      <c r="KMI46" s="110"/>
      <c r="KMK46"/>
      <c r="KMM46" s="110"/>
      <c r="KMO46"/>
      <c r="KMQ46" s="110"/>
      <c r="KMS46"/>
      <c r="KMU46" s="110"/>
      <c r="KMW46"/>
      <c r="KMY46" s="110"/>
      <c r="KNA46"/>
      <c r="KNC46" s="110"/>
      <c r="KNE46"/>
      <c r="KNG46" s="110"/>
      <c r="KNI46"/>
      <c r="KNK46" s="110"/>
      <c r="KNM46"/>
      <c r="KNO46" s="110"/>
      <c r="KNQ46"/>
      <c r="KNS46" s="110"/>
      <c r="KNU46"/>
      <c r="KNW46" s="110"/>
      <c r="KNY46"/>
      <c r="KOA46" s="110"/>
      <c r="KOC46"/>
      <c r="KOE46" s="110"/>
      <c r="KOG46"/>
      <c r="KOI46" s="110"/>
      <c r="KOK46"/>
      <c r="KOM46" s="110"/>
      <c r="KOO46"/>
      <c r="KOQ46" s="110"/>
      <c r="KOS46"/>
      <c r="KOU46" s="110"/>
      <c r="KOW46"/>
      <c r="KOY46" s="110"/>
      <c r="KPA46"/>
      <c r="KPC46" s="110"/>
      <c r="KPE46"/>
      <c r="KPG46" s="110"/>
      <c r="KPI46"/>
      <c r="KPK46" s="110"/>
      <c r="KPM46"/>
      <c r="KPO46" s="110"/>
      <c r="KPQ46"/>
      <c r="KPS46" s="110"/>
      <c r="KPU46"/>
      <c r="KPW46" s="110"/>
      <c r="KPY46"/>
      <c r="KQA46" s="110"/>
      <c r="KQC46"/>
      <c r="KQE46" s="110"/>
      <c r="KQG46"/>
      <c r="KQI46" s="110"/>
      <c r="KQK46"/>
      <c r="KQM46" s="110"/>
      <c r="KQO46"/>
      <c r="KQQ46" s="110"/>
      <c r="KQS46"/>
      <c r="KQU46" s="110"/>
      <c r="KQW46"/>
      <c r="KQY46" s="110"/>
      <c r="KRA46"/>
      <c r="KRC46" s="110"/>
      <c r="KRE46"/>
      <c r="KRG46" s="110"/>
      <c r="KRI46"/>
      <c r="KRK46" s="110"/>
      <c r="KRM46"/>
      <c r="KRO46" s="110"/>
      <c r="KRQ46"/>
      <c r="KRS46" s="110"/>
      <c r="KRU46"/>
      <c r="KRW46" s="110"/>
      <c r="KRY46"/>
      <c r="KSA46" s="110"/>
      <c r="KSC46"/>
      <c r="KSE46" s="110"/>
      <c r="KSG46"/>
      <c r="KSI46" s="110"/>
      <c r="KSK46"/>
      <c r="KSM46" s="110"/>
      <c r="KSO46"/>
      <c r="KSQ46" s="110"/>
      <c r="KSS46"/>
      <c r="KSU46" s="110"/>
      <c r="KSW46"/>
      <c r="KSY46" s="110"/>
      <c r="KTA46"/>
      <c r="KTC46" s="110"/>
      <c r="KTE46"/>
      <c r="KTG46" s="110"/>
      <c r="KTI46"/>
      <c r="KTK46" s="110"/>
      <c r="KTM46"/>
      <c r="KTO46" s="110"/>
      <c r="KTQ46"/>
      <c r="KTS46" s="110"/>
      <c r="KTU46"/>
      <c r="KTW46" s="110"/>
      <c r="KTY46"/>
      <c r="KUA46" s="110"/>
      <c r="KUC46"/>
      <c r="KUE46" s="110"/>
      <c r="KUG46"/>
      <c r="KUI46" s="110"/>
      <c r="KUK46"/>
      <c r="KUM46" s="110"/>
      <c r="KUO46"/>
      <c r="KUQ46" s="110"/>
      <c r="KUS46"/>
      <c r="KUU46" s="110"/>
      <c r="KUW46"/>
      <c r="KUY46" s="110"/>
      <c r="KVA46"/>
      <c r="KVC46" s="110"/>
      <c r="KVE46"/>
      <c r="KVG46" s="110"/>
      <c r="KVI46"/>
      <c r="KVK46" s="110"/>
      <c r="KVM46"/>
      <c r="KVO46" s="110"/>
      <c r="KVQ46"/>
      <c r="KVS46" s="110"/>
      <c r="KVU46"/>
      <c r="KVW46" s="110"/>
      <c r="KVY46"/>
      <c r="KWA46" s="110"/>
      <c r="KWC46"/>
      <c r="KWE46" s="110"/>
      <c r="KWG46"/>
      <c r="KWI46" s="110"/>
      <c r="KWK46"/>
      <c r="KWM46" s="110"/>
      <c r="KWO46"/>
      <c r="KWQ46" s="110"/>
      <c r="KWS46"/>
      <c r="KWU46" s="110"/>
      <c r="KWW46"/>
      <c r="KWY46" s="110"/>
      <c r="KXA46"/>
      <c r="KXC46" s="110"/>
      <c r="KXE46"/>
      <c r="KXG46" s="110"/>
      <c r="KXI46"/>
      <c r="KXK46" s="110"/>
      <c r="KXM46"/>
      <c r="KXO46" s="110"/>
      <c r="KXQ46"/>
      <c r="KXS46" s="110"/>
      <c r="KXU46"/>
      <c r="KXW46" s="110"/>
      <c r="KXY46"/>
      <c r="KYA46" s="110"/>
      <c r="KYC46"/>
      <c r="KYE46" s="110"/>
      <c r="KYG46"/>
      <c r="KYI46" s="110"/>
      <c r="KYK46"/>
      <c r="KYM46" s="110"/>
      <c r="KYO46"/>
      <c r="KYQ46" s="110"/>
      <c r="KYS46"/>
      <c r="KYU46" s="110"/>
      <c r="KYW46"/>
      <c r="KYY46" s="110"/>
      <c r="KZA46"/>
      <c r="KZC46" s="110"/>
      <c r="KZE46"/>
      <c r="KZG46" s="110"/>
      <c r="KZI46"/>
      <c r="KZK46" s="110"/>
      <c r="KZM46"/>
      <c r="KZO46" s="110"/>
      <c r="KZQ46"/>
      <c r="KZS46" s="110"/>
      <c r="KZU46"/>
      <c r="KZW46" s="110"/>
      <c r="KZY46"/>
      <c r="LAA46" s="110"/>
      <c r="LAC46"/>
      <c r="LAE46" s="110"/>
      <c r="LAG46"/>
      <c r="LAI46" s="110"/>
      <c r="LAK46"/>
      <c r="LAM46" s="110"/>
      <c r="LAO46"/>
      <c r="LAQ46" s="110"/>
      <c r="LAS46"/>
      <c r="LAU46" s="110"/>
      <c r="LAW46"/>
      <c r="LAY46" s="110"/>
      <c r="LBA46"/>
      <c r="LBC46" s="110"/>
      <c r="LBE46"/>
      <c r="LBG46" s="110"/>
      <c r="LBI46"/>
      <c r="LBK46" s="110"/>
      <c r="LBM46"/>
      <c r="LBO46" s="110"/>
      <c r="LBQ46"/>
      <c r="LBS46" s="110"/>
      <c r="LBU46"/>
      <c r="LBW46" s="110"/>
      <c r="LBY46"/>
      <c r="LCA46" s="110"/>
      <c r="LCC46"/>
      <c r="LCE46" s="110"/>
      <c r="LCG46"/>
      <c r="LCI46" s="110"/>
      <c r="LCK46"/>
      <c r="LCM46" s="110"/>
      <c r="LCO46"/>
      <c r="LCQ46" s="110"/>
      <c r="LCS46"/>
      <c r="LCU46" s="110"/>
      <c r="LCW46"/>
      <c r="LCY46" s="110"/>
      <c r="LDA46"/>
      <c r="LDC46" s="110"/>
      <c r="LDE46"/>
      <c r="LDG46" s="110"/>
      <c r="LDI46"/>
      <c r="LDK46" s="110"/>
      <c r="LDM46"/>
      <c r="LDO46" s="110"/>
      <c r="LDQ46"/>
      <c r="LDS46" s="110"/>
      <c r="LDU46"/>
      <c r="LDW46" s="110"/>
      <c r="LDY46"/>
      <c r="LEA46" s="110"/>
      <c r="LEC46"/>
      <c r="LEE46" s="110"/>
      <c r="LEG46"/>
      <c r="LEI46" s="110"/>
      <c r="LEK46"/>
      <c r="LEM46" s="110"/>
      <c r="LEO46"/>
      <c r="LEQ46" s="110"/>
      <c r="LES46"/>
      <c r="LEU46" s="110"/>
      <c r="LEW46"/>
      <c r="LEY46" s="110"/>
      <c r="LFA46"/>
      <c r="LFC46" s="110"/>
      <c r="LFE46"/>
      <c r="LFG46" s="110"/>
      <c r="LFI46"/>
      <c r="LFK46" s="110"/>
      <c r="LFM46"/>
      <c r="LFO46" s="110"/>
      <c r="LFQ46"/>
      <c r="LFS46" s="110"/>
      <c r="LFU46"/>
      <c r="LFW46" s="110"/>
      <c r="LFY46"/>
      <c r="LGA46" s="110"/>
      <c r="LGC46"/>
      <c r="LGE46" s="110"/>
      <c r="LGG46"/>
      <c r="LGI46" s="110"/>
      <c r="LGK46"/>
      <c r="LGM46" s="110"/>
      <c r="LGO46"/>
      <c r="LGQ46" s="110"/>
      <c r="LGS46"/>
      <c r="LGU46" s="110"/>
      <c r="LGW46"/>
      <c r="LGY46" s="110"/>
      <c r="LHA46"/>
      <c r="LHC46" s="110"/>
      <c r="LHE46"/>
      <c r="LHG46" s="110"/>
      <c r="LHI46"/>
      <c r="LHK46" s="110"/>
      <c r="LHM46"/>
      <c r="LHO46" s="110"/>
      <c r="LHQ46"/>
      <c r="LHS46" s="110"/>
      <c r="LHU46"/>
      <c r="LHW46" s="110"/>
      <c r="LHY46"/>
      <c r="LIA46" s="110"/>
      <c r="LIC46"/>
      <c r="LIE46" s="110"/>
      <c r="LIG46"/>
      <c r="LII46" s="110"/>
      <c r="LIK46"/>
      <c r="LIM46" s="110"/>
      <c r="LIO46"/>
      <c r="LIQ46" s="110"/>
      <c r="LIS46"/>
      <c r="LIU46" s="110"/>
      <c r="LIW46"/>
      <c r="LIY46" s="110"/>
      <c r="LJA46"/>
      <c r="LJC46" s="110"/>
      <c r="LJE46"/>
      <c r="LJG46" s="110"/>
      <c r="LJI46"/>
      <c r="LJK46" s="110"/>
      <c r="LJM46"/>
      <c r="LJO46" s="110"/>
      <c r="LJQ46"/>
      <c r="LJS46" s="110"/>
      <c r="LJU46"/>
      <c r="LJW46" s="110"/>
      <c r="LJY46"/>
      <c r="LKA46" s="110"/>
      <c r="LKC46"/>
      <c r="LKE46" s="110"/>
      <c r="LKG46"/>
      <c r="LKI46" s="110"/>
      <c r="LKK46"/>
      <c r="LKM46" s="110"/>
      <c r="LKO46"/>
      <c r="LKQ46" s="110"/>
      <c r="LKS46"/>
      <c r="LKU46" s="110"/>
      <c r="LKW46"/>
      <c r="LKY46" s="110"/>
      <c r="LLA46"/>
      <c r="LLC46" s="110"/>
      <c r="LLE46"/>
      <c r="LLG46" s="110"/>
      <c r="LLI46"/>
      <c r="LLK46" s="110"/>
      <c r="LLM46"/>
      <c r="LLO46" s="110"/>
      <c r="LLQ46"/>
      <c r="LLS46" s="110"/>
      <c r="LLU46"/>
      <c r="LLW46" s="110"/>
      <c r="LLY46"/>
      <c r="LMA46" s="110"/>
      <c r="LMC46"/>
      <c r="LME46" s="110"/>
      <c r="LMG46"/>
      <c r="LMI46" s="110"/>
      <c r="LMK46"/>
      <c r="LMM46" s="110"/>
      <c r="LMO46"/>
      <c r="LMQ46" s="110"/>
      <c r="LMS46"/>
      <c r="LMU46" s="110"/>
      <c r="LMW46"/>
      <c r="LMY46" s="110"/>
      <c r="LNA46"/>
      <c r="LNC46" s="110"/>
      <c r="LNE46"/>
      <c r="LNG46" s="110"/>
      <c r="LNI46"/>
      <c r="LNK46" s="110"/>
      <c r="LNM46"/>
      <c r="LNO46" s="110"/>
      <c r="LNQ46"/>
      <c r="LNS46" s="110"/>
      <c r="LNU46"/>
      <c r="LNW46" s="110"/>
      <c r="LNY46"/>
      <c r="LOA46" s="110"/>
      <c r="LOC46"/>
      <c r="LOE46" s="110"/>
      <c r="LOG46"/>
      <c r="LOI46" s="110"/>
      <c r="LOK46"/>
      <c r="LOM46" s="110"/>
      <c r="LOO46"/>
      <c r="LOQ46" s="110"/>
      <c r="LOS46"/>
      <c r="LOU46" s="110"/>
      <c r="LOW46"/>
      <c r="LOY46" s="110"/>
      <c r="LPA46"/>
      <c r="LPC46" s="110"/>
      <c r="LPE46"/>
      <c r="LPG46" s="110"/>
      <c r="LPI46"/>
      <c r="LPK46" s="110"/>
      <c r="LPM46"/>
      <c r="LPO46" s="110"/>
      <c r="LPQ46"/>
      <c r="LPS46" s="110"/>
      <c r="LPU46"/>
      <c r="LPW46" s="110"/>
      <c r="LPY46"/>
      <c r="LQA46" s="110"/>
      <c r="LQC46"/>
      <c r="LQE46" s="110"/>
      <c r="LQG46"/>
      <c r="LQI46" s="110"/>
      <c r="LQK46"/>
      <c r="LQM46" s="110"/>
      <c r="LQO46"/>
      <c r="LQQ46" s="110"/>
      <c r="LQS46"/>
      <c r="LQU46" s="110"/>
      <c r="LQW46"/>
      <c r="LQY46" s="110"/>
      <c r="LRA46"/>
      <c r="LRC46" s="110"/>
      <c r="LRE46"/>
      <c r="LRG46" s="110"/>
      <c r="LRI46"/>
      <c r="LRK46" s="110"/>
      <c r="LRM46"/>
      <c r="LRO46" s="110"/>
      <c r="LRQ46"/>
      <c r="LRS46" s="110"/>
      <c r="LRU46"/>
      <c r="LRW46" s="110"/>
      <c r="LRY46"/>
      <c r="LSA46" s="110"/>
      <c r="LSC46"/>
      <c r="LSE46" s="110"/>
      <c r="LSG46"/>
      <c r="LSI46" s="110"/>
      <c r="LSK46"/>
      <c r="LSM46" s="110"/>
      <c r="LSO46"/>
      <c r="LSQ46" s="110"/>
      <c r="LSS46"/>
      <c r="LSU46" s="110"/>
      <c r="LSW46"/>
      <c r="LSY46" s="110"/>
      <c r="LTA46"/>
      <c r="LTC46" s="110"/>
      <c r="LTE46"/>
      <c r="LTG46" s="110"/>
      <c r="LTI46"/>
      <c r="LTK46" s="110"/>
      <c r="LTM46"/>
      <c r="LTO46" s="110"/>
      <c r="LTQ46"/>
      <c r="LTS46" s="110"/>
      <c r="LTU46"/>
      <c r="LTW46" s="110"/>
      <c r="LTY46"/>
      <c r="LUA46" s="110"/>
      <c r="LUC46"/>
      <c r="LUE46" s="110"/>
      <c r="LUG46"/>
      <c r="LUI46" s="110"/>
      <c r="LUK46"/>
      <c r="LUM46" s="110"/>
      <c r="LUO46"/>
      <c r="LUQ46" s="110"/>
      <c r="LUS46"/>
      <c r="LUU46" s="110"/>
      <c r="LUW46"/>
      <c r="LUY46" s="110"/>
      <c r="LVA46"/>
      <c r="LVC46" s="110"/>
      <c r="LVE46"/>
      <c r="LVG46" s="110"/>
      <c r="LVI46"/>
      <c r="LVK46" s="110"/>
      <c r="LVM46"/>
      <c r="LVO46" s="110"/>
      <c r="LVQ46"/>
      <c r="LVS46" s="110"/>
      <c r="LVU46"/>
      <c r="LVW46" s="110"/>
      <c r="LVY46"/>
      <c r="LWA46" s="110"/>
      <c r="LWC46"/>
      <c r="LWE46" s="110"/>
      <c r="LWG46"/>
      <c r="LWI46" s="110"/>
      <c r="LWK46"/>
      <c r="LWM46" s="110"/>
      <c r="LWO46"/>
      <c r="LWQ46" s="110"/>
      <c r="LWS46"/>
      <c r="LWU46" s="110"/>
      <c r="LWW46"/>
      <c r="LWY46" s="110"/>
      <c r="LXA46"/>
      <c r="LXC46" s="110"/>
      <c r="LXE46"/>
      <c r="LXG46" s="110"/>
      <c r="LXI46"/>
      <c r="LXK46" s="110"/>
      <c r="LXM46"/>
      <c r="LXO46" s="110"/>
      <c r="LXQ46"/>
      <c r="LXS46" s="110"/>
      <c r="LXU46"/>
      <c r="LXW46" s="110"/>
      <c r="LXY46"/>
      <c r="LYA46" s="110"/>
      <c r="LYC46"/>
      <c r="LYE46" s="110"/>
      <c r="LYG46"/>
      <c r="LYI46" s="110"/>
      <c r="LYK46"/>
      <c r="LYM46" s="110"/>
      <c r="LYO46"/>
      <c r="LYQ46" s="110"/>
      <c r="LYS46"/>
      <c r="LYU46" s="110"/>
      <c r="LYW46"/>
      <c r="LYY46" s="110"/>
      <c r="LZA46"/>
      <c r="LZC46" s="110"/>
      <c r="LZE46"/>
      <c r="LZG46" s="110"/>
      <c r="LZI46"/>
      <c r="LZK46" s="110"/>
      <c r="LZM46"/>
      <c r="LZO46" s="110"/>
      <c r="LZQ46"/>
      <c r="LZS46" s="110"/>
      <c r="LZU46"/>
      <c r="LZW46" s="110"/>
      <c r="LZY46"/>
      <c r="MAA46" s="110"/>
      <c r="MAC46"/>
      <c r="MAE46" s="110"/>
      <c r="MAG46"/>
      <c r="MAI46" s="110"/>
      <c r="MAK46"/>
      <c r="MAM46" s="110"/>
      <c r="MAO46"/>
      <c r="MAQ46" s="110"/>
      <c r="MAS46"/>
      <c r="MAU46" s="110"/>
      <c r="MAW46"/>
      <c r="MAY46" s="110"/>
      <c r="MBA46"/>
      <c r="MBC46" s="110"/>
      <c r="MBE46"/>
      <c r="MBG46" s="110"/>
      <c r="MBI46"/>
      <c r="MBK46" s="110"/>
      <c r="MBM46"/>
      <c r="MBO46" s="110"/>
      <c r="MBQ46"/>
      <c r="MBS46" s="110"/>
      <c r="MBU46"/>
      <c r="MBW46" s="110"/>
      <c r="MBY46"/>
      <c r="MCA46" s="110"/>
      <c r="MCC46"/>
      <c r="MCE46" s="110"/>
      <c r="MCG46"/>
      <c r="MCI46" s="110"/>
      <c r="MCK46"/>
      <c r="MCM46" s="110"/>
      <c r="MCO46"/>
      <c r="MCQ46" s="110"/>
      <c r="MCS46"/>
      <c r="MCU46" s="110"/>
      <c r="MCW46"/>
      <c r="MCY46" s="110"/>
      <c r="MDA46"/>
      <c r="MDC46" s="110"/>
      <c r="MDE46"/>
      <c r="MDG46" s="110"/>
      <c r="MDI46"/>
      <c r="MDK46" s="110"/>
      <c r="MDM46"/>
      <c r="MDO46" s="110"/>
      <c r="MDQ46"/>
      <c r="MDS46" s="110"/>
      <c r="MDU46"/>
      <c r="MDW46" s="110"/>
      <c r="MDY46"/>
      <c r="MEA46" s="110"/>
      <c r="MEC46"/>
      <c r="MEE46" s="110"/>
      <c r="MEG46"/>
      <c r="MEI46" s="110"/>
      <c r="MEK46"/>
      <c r="MEM46" s="110"/>
      <c r="MEO46"/>
      <c r="MEQ46" s="110"/>
      <c r="MES46"/>
      <c r="MEU46" s="110"/>
      <c r="MEW46"/>
      <c r="MEY46" s="110"/>
      <c r="MFA46"/>
      <c r="MFC46" s="110"/>
      <c r="MFE46"/>
      <c r="MFG46" s="110"/>
      <c r="MFI46"/>
      <c r="MFK46" s="110"/>
      <c r="MFM46"/>
      <c r="MFO46" s="110"/>
      <c r="MFQ46"/>
      <c r="MFS46" s="110"/>
      <c r="MFU46"/>
      <c r="MFW46" s="110"/>
      <c r="MFY46"/>
      <c r="MGA46" s="110"/>
      <c r="MGC46"/>
      <c r="MGE46" s="110"/>
      <c r="MGG46"/>
      <c r="MGI46" s="110"/>
      <c r="MGK46"/>
      <c r="MGM46" s="110"/>
      <c r="MGO46"/>
      <c r="MGQ46" s="110"/>
      <c r="MGS46"/>
      <c r="MGU46" s="110"/>
      <c r="MGW46"/>
      <c r="MGY46" s="110"/>
      <c r="MHA46"/>
      <c r="MHC46" s="110"/>
      <c r="MHE46"/>
      <c r="MHG46" s="110"/>
      <c r="MHI46"/>
      <c r="MHK46" s="110"/>
      <c r="MHM46"/>
      <c r="MHO46" s="110"/>
      <c r="MHQ46"/>
      <c r="MHS46" s="110"/>
      <c r="MHU46"/>
      <c r="MHW46" s="110"/>
      <c r="MHY46"/>
      <c r="MIA46" s="110"/>
      <c r="MIC46"/>
      <c r="MIE46" s="110"/>
      <c r="MIG46"/>
      <c r="MII46" s="110"/>
      <c r="MIK46"/>
      <c r="MIM46" s="110"/>
      <c r="MIO46"/>
      <c r="MIQ46" s="110"/>
      <c r="MIS46"/>
      <c r="MIU46" s="110"/>
      <c r="MIW46"/>
      <c r="MIY46" s="110"/>
      <c r="MJA46"/>
      <c r="MJC46" s="110"/>
      <c r="MJE46"/>
      <c r="MJG46" s="110"/>
      <c r="MJI46"/>
      <c r="MJK46" s="110"/>
      <c r="MJM46"/>
      <c r="MJO46" s="110"/>
      <c r="MJQ46"/>
      <c r="MJS46" s="110"/>
      <c r="MJU46"/>
      <c r="MJW46" s="110"/>
      <c r="MJY46"/>
      <c r="MKA46" s="110"/>
      <c r="MKC46"/>
      <c r="MKE46" s="110"/>
      <c r="MKG46"/>
      <c r="MKI46" s="110"/>
      <c r="MKK46"/>
      <c r="MKM46" s="110"/>
      <c r="MKO46"/>
      <c r="MKQ46" s="110"/>
      <c r="MKS46"/>
      <c r="MKU46" s="110"/>
      <c r="MKW46"/>
      <c r="MKY46" s="110"/>
      <c r="MLA46"/>
      <c r="MLC46" s="110"/>
      <c r="MLE46"/>
      <c r="MLG46" s="110"/>
      <c r="MLI46"/>
      <c r="MLK46" s="110"/>
      <c r="MLM46"/>
      <c r="MLO46" s="110"/>
      <c r="MLQ46"/>
      <c r="MLS46" s="110"/>
      <c r="MLU46"/>
      <c r="MLW46" s="110"/>
      <c r="MLY46"/>
      <c r="MMA46" s="110"/>
      <c r="MMC46"/>
      <c r="MME46" s="110"/>
      <c r="MMG46"/>
      <c r="MMI46" s="110"/>
      <c r="MMK46"/>
      <c r="MMM46" s="110"/>
      <c r="MMO46"/>
      <c r="MMQ46" s="110"/>
      <c r="MMS46"/>
      <c r="MMU46" s="110"/>
      <c r="MMW46"/>
      <c r="MMY46" s="110"/>
      <c r="MNA46"/>
      <c r="MNC46" s="110"/>
      <c r="MNE46"/>
      <c r="MNG46" s="110"/>
      <c r="MNI46"/>
      <c r="MNK46" s="110"/>
      <c r="MNM46"/>
      <c r="MNO46" s="110"/>
      <c r="MNQ46"/>
      <c r="MNS46" s="110"/>
      <c r="MNU46"/>
      <c r="MNW46" s="110"/>
      <c r="MNY46"/>
      <c r="MOA46" s="110"/>
      <c r="MOC46"/>
      <c r="MOE46" s="110"/>
      <c r="MOG46"/>
      <c r="MOI46" s="110"/>
      <c r="MOK46"/>
      <c r="MOM46" s="110"/>
      <c r="MOO46"/>
      <c r="MOQ46" s="110"/>
      <c r="MOS46"/>
      <c r="MOU46" s="110"/>
      <c r="MOW46"/>
      <c r="MOY46" s="110"/>
      <c r="MPA46"/>
      <c r="MPC46" s="110"/>
      <c r="MPE46"/>
      <c r="MPG46" s="110"/>
      <c r="MPI46"/>
      <c r="MPK46" s="110"/>
      <c r="MPM46"/>
      <c r="MPO46" s="110"/>
      <c r="MPQ46"/>
      <c r="MPS46" s="110"/>
      <c r="MPU46"/>
      <c r="MPW46" s="110"/>
      <c r="MPY46"/>
      <c r="MQA46" s="110"/>
      <c r="MQC46"/>
      <c r="MQE46" s="110"/>
      <c r="MQG46"/>
      <c r="MQI46" s="110"/>
      <c r="MQK46"/>
      <c r="MQM46" s="110"/>
      <c r="MQO46"/>
      <c r="MQQ46" s="110"/>
      <c r="MQS46"/>
      <c r="MQU46" s="110"/>
      <c r="MQW46"/>
      <c r="MQY46" s="110"/>
      <c r="MRA46"/>
      <c r="MRC46" s="110"/>
      <c r="MRE46"/>
      <c r="MRG46" s="110"/>
      <c r="MRI46"/>
      <c r="MRK46" s="110"/>
      <c r="MRM46"/>
      <c r="MRO46" s="110"/>
      <c r="MRQ46"/>
      <c r="MRS46" s="110"/>
      <c r="MRU46"/>
      <c r="MRW46" s="110"/>
      <c r="MRY46"/>
      <c r="MSA46" s="110"/>
      <c r="MSC46"/>
      <c r="MSE46" s="110"/>
      <c r="MSG46"/>
      <c r="MSI46" s="110"/>
      <c r="MSK46"/>
      <c r="MSM46" s="110"/>
      <c r="MSO46"/>
      <c r="MSQ46" s="110"/>
      <c r="MSS46"/>
      <c r="MSU46" s="110"/>
      <c r="MSW46"/>
      <c r="MSY46" s="110"/>
      <c r="MTA46"/>
      <c r="MTC46" s="110"/>
      <c r="MTE46"/>
      <c r="MTG46" s="110"/>
      <c r="MTI46"/>
      <c r="MTK46" s="110"/>
      <c r="MTM46"/>
      <c r="MTO46" s="110"/>
      <c r="MTQ46"/>
      <c r="MTS46" s="110"/>
      <c r="MTU46"/>
      <c r="MTW46" s="110"/>
      <c r="MTY46"/>
      <c r="MUA46" s="110"/>
      <c r="MUC46"/>
      <c r="MUE46" s="110"/>
      <c r="MUG46"/>
      <c r="MUI46" s="110"/>
      <c r="MUK46"/>
      <c r="MUM46" s="110"/>
      <c r="MUO46"/>
      <c r="MUQ46" s="110"/>
      <c r="MUS46"/>
      <c r="MUU46" s="110"/>
      <c r="MUW46"/>
      <c r="MUY46" s="110"/>
      <c r="MVA46"/>
      <c r="MVC46" s="110"/>
      <c r="MVE46"/>
      <c r="MVG46" s="110"/>
      <c r="MVI46"/>
      <c r="MVK46" s="110"/>
      <c r="MVM46"/>
      <c r="MVO46" s="110"/>
      <c r="MVQ46"/>
      <c r="MVS46" s="110"/>
      <c r="MVU46"/>
      <c r="MVW46" s="110"/>
      <c r="MVY46"/>
      <c r="MWA46" s="110"/>
      <c r="MWC46"/>
      <c r="MWE46" s="110"/>
      <c r="MWG46"/>
      <c r="MWI46" s="110"/>
      <c r="MWK46"/>
      <c r="MWM46" s="110"/>
      <c r="MWO46"/>
      <c r="MWQ46" s="110"/>
      <c r="MWS46"/>
      <c r="MWU46" s="110"/>
      <c r="MWW46"/>
      <c r="MWY46" s="110"/>
      <c r="MXA46"/>
      <c r="MXC46" s="110"/>
      <c r="MXE46"/>
      <c r="MXG46" s="110"/>
      <c r="MXI46"/>
      <c r="MXK46" s="110"/>
      <c r="MXM46"/>
      <c r="MXO46" s="110"/>
      <c r="MXQ46"/>
      <c r="MXS46" s="110"/>
      <c r="MXU46"/>
      <c r="MXW46" s="110"/>
      <c r="MXY46"/>
      <c r="MYA46" s="110"/>
      <c r="MYC46"/>
      <c r="MYE46" s="110"/>
      <c r="MYG46"/>
      <c r="MYI46" s="110"/>
      <c r="MYK46"/>
      <c r="MYM46" s="110"/>
      <c r="MYO46"/>
      <c r="MYQ46" s="110"/>
      <c r="MYS46"/>
      <c r="MYU46" s="110"/>
      <c r="MYW46"/>
      <c r="MYY46" s="110"/>
      <c r="MZA46"/>
      <c r="MZC46" s="110"/>
      <c r="MZE46"/>
      <c r="MZG46" s="110"/>
      <c r="MZI46"/>
      <c r="MZK46" s="110"/>
      <c r="MZM46"/>
      <c r="MZO46" s="110"/>
      <c r="MZQ46"/>
      <c r="MZS46" s="110"/>
      <c r="MZU46"/>
      <c r="MZW46" s="110"/>
      <c r="MZY46"/>
      <c r="NAA46" s="110"/>
      <c r="NAC46"/>
      <c r="NAE46" s="110"/>
      <c r="NAG46"/>
      <c r="NAI46" s="110"/>
      <c r="NAK46"/>
      <c r="NAM46" s="110"/>
      <c r="NAO46"/>
      <c r="NAQ46" s="110"/>
      <c r="NAS46"/>
      <c r="NAU46" s="110"/>
      <c r="NAW46"/>
      <c r="NAY46" s="110"/>
      <c r="NBA46"/>
      <c r="NBC46" s="110"/>
      <c r="NBE46"/>
      <c r="NBG46" s="110"/>
      <c r="NBI46"/>
      <c r="NBK46" s="110"/>
      <c r="NBM46"/>
      <c r="NBO46" s="110"/>
      <c r="NBQ46"/>
      <c r="NBS46" s="110"/>
      <c r="NBU46"/>
      <c r="NBW46" s="110"/>
      <c r="NBY46"/>
      <c r="NCA46" s="110"/>
      <c r="NCC46"/>
      <c r="NCE46" s="110"/>
      <c r="NCG46"/>
      <c r="NCI46" s="110"/>
      <c r="NCK46"/>
      <c r="NCM46" s="110"/>
      <c r="NCO46"/>
      <c r="NCQ46" s="110"/>
      <c r="NCS46"/>
      <c r="NCU46" s="110"/>
      <c r="NCW46"/>
      <c r="NCY46" s="110"/>
      <c r="NDA46"/>
      <c r="NDC46" s="110"/>
      <c r="NDE46"/>
      <c r="NDG46" s="110"/>
      <c r="NDI46"/>
      <c r="NDK46" s="110"/>
      <c r="NDM46"/>
      <c r="NDO46" s="110"/>
      <c r="NDQ46"/>
      <c r="NDS46" s="110"/>
      <c r="NDU46"/>
      <c r="NDW46" s="110"/>
      <c r="NDY46"/>
      <c r="NEA46" s="110"/>
      <c r="NEC46"/>
      <c r="NEE46" s="110"/>
      <c r="NEG46"/>
      <c r="NEI46" s="110"/>
      <c r="NEK46"/>
      <c r="NEM46" s="110"/>
      <c r="NEO46"/>
      <c r="NEQ46" s="110"/>
      <c r="NES46"/>
      <c r="NEU46" s="110"/>
      <c r="NEW46"/>
      <c r="NEY46" s="110"/>
      <c r="NFA46"/>
      <c r="NFC46" s="110"/>
      <c r="NFE46"/>
      <c r="NFG46" s="110"/>
      <c r="NFI46"/>
      <c r="NFK46" s="110"/>
      <c r="NFM46"/>
      <c r="NFO46" s="110"/>
      <c r="NFQ46"/>
      <c r="NFS46" s="110"/>
      <c r="NFU46"/>
      <c r="NFW46" s="110"/>
      <c r="NFY46"/>
      <c r="NGA46" s="110"/>
      <c r="NGC46"/>
      <c r="NGE46" s="110"/>
      <c r="NGG46"/>
      <c r="NGI46" s="110"/>
      <c r="NGK46"/>
      <c r="NGM46" s="110"/>
      <c r="NGO46"/>
      <c r="NGQ46" s="110"/>
      <c r="NGS46"/>
      <c r="NGU46" s="110"/>
      <c r="NGW46"/>
      <c r="NGY46" s="110"/>
      <c r="NHA46"/>
      <c r="NHC46" s="110"/>
      <c r="NHE46"/>
      <c r="NHG46" s="110"/>
      <c r="NHI46"/>
      <c r="NHK46" s="110"/>
      <c r="NHM46"/>
      <c r="NHO46" s="110"/>
      <c r="NHQ46"/>
      <c r="NHS46" s="110"/>
      <c r="NHU46"/>
      <c r="NHW46" s="110"/>
      <c r="NHY46"/>
      <c r="NIA46" s="110"/>
      <c r="NIC46"/>
      <c r="NIE46" s="110"/>
      <c r="NIG46"/>
      <c r="NII46" s="110"/>
      <c r="NIK46"/>
      <c r="NIM46" s="110"/>
      <c r="NIO46"/>
      <c r="NIQ46" s="110"/>
      <c r="NIS46"/>
      <c r="NIU46" s="110"/>
      <c r="NIW46"/>
      <c r="NIY46" s="110"/>
      <c r="NJA46"/>
      <c r="NJC46" s="110"/>
      <c r="NJE46"/>
      <c r="NJG46" s="110"/>
      <c r="NJI46"/>
      <c r="NJK46" s="110"/>
      <c r="NJM46"/>
      <c r="NJO46" s="110"/>
      <c r="NJQ46"/>
      <c r="NJS46" s="110"/>
      <c r="NJU46"/>
      <c r="NJW46" s="110"/>
      <c r="NJY46"/>
      <c r="NKA46" s="110"/>
      <c r="NKC46"/>
      <c r="NKE46" s="110"/>
      <c r="NKG46"/>
      <c r="NKI46" s="110"/>
      <c r="NKK46"/>
      <c r="NKM46" s="110"/>
      <c r="NKO46"/>
      <c r="NKQ46" s="110"/>
      <c r="NKS46"/>
      <c r="NKU46" s="110"/>
      <c r="NKW46"/>
      <c r="NKY46" s="110"/>
      <c r="NLA46"/>
      <c r="NLC46" s="110"/>
      <c r="NLE46"/>
      <c r="NLG46" s="110"/>
      <c r="NLI46"/>
      <c r="NLK46" s="110"/>
      <c r="NLM46"/>
      <c r="NLO46" s="110"/>
      <c r="NLQ46"/>
      <c r="NLS46" s="110"/>
      <c r="NLU46"/>
      <c r="NLW46" s="110"/>
      <c r="NLY46"/>
      <c r="NMA46" s="110"/>
      <c r="NMC46"/>
      <c r="NME46" s="110"/>
      <c r="NMG46"/>
      <c r="NMI46" s="110"/>
      <c r="NMK46"/>
      <c r="NMM46" s="110"/>
      <c r="NMO46"/>
      <c r="NMQ46" s="110"/>
      <c r="NMS46"/>
      <c r="NMU46" s="110"/>
      <c r="NMW46"/>
      <c r="NMY46" s="110"/>
      <c r="NNA46"/>
      <c r="NNC46" s="110"/>
      <c r="NNE46"/>
      <c r="NNG46" s="110"/>
      <c r="NNI46"/>
      <c r="NNK46" s="110"/>
      <c r="NNM46"/>
      <c r="NNO46" s="110"/>
      <c r="NNQ46"/>
      <c r="NNS46" s="110"/>
      <c r="NNU46"/>
      <c r="NNW46" s="110"/>
      <c r="NNY46"/>
      <c r="NOA46" s="110"/>
      <c r="NOC46"/>
      <c r="NOE46" s="110"/>
      <c r="NOG46"/>
      <c r="NOI46" s="110"/>
      <c r="NOK46"/>
      <c r="NOM46" s="110"/>
      <c r="NOO46"/>
      <c r="NOQ46" s="110"/>
      <c r="NOS46"/>
      <c r="NOU46" s="110"/>
      <c r="NOW46"/>
      <c r="NOY46" s="110"/>
      <c r="NPA46"/>
      <c r="NPC46" s="110"/>
      <c r="NPE46"/>
      <c r="NPG46" s="110"/>
      <c r="NPI46"/>
      <c r="NPK46" s="110"/>
      <c r="NPM46"/>
      <c r="NPO46" s="110"/>
      <c r="NPQ46"/>
      <c r="NPS46" s="110"/>
      <c r="NPU46"/>
      <c r="NPW46" s="110"/>
      <c r="NPY46"/>
      <c r="NQA46" s="110"/>
      <c r="NQC46"/>
      <c r="NQE46" s="110"/>
      <c r="NQG46"/>
      <c r="NQI46" s="110"/>
      <c r="NQK46"/>
      <c r="NQM46" s="110"/>
      <c r="NQO46"/>
      <c r="NQQ46" s="110"/>
      <c r="NQS46"/>
      <c r="NQU46" s="110"/>
      <c r="NQW46"/>
      <c r="NQY46" s="110"/>
      <c r="NRA46"/>
      <c r="NRC46" s="110"/>
      <c r="NRE46"/>
      <c r="NRG46" s="110"/>
      <c r="NRI46"/>
      <c r="NRK46" s="110"/>
      <c r="NRM46"/>
      <c r="NRO46" s="110"/>
      <c r="NRQ46"/>
      <c r="NRS46" s="110"/>
      <c r="NRU46"/>
      <c r="NRW46" s="110"/>
      <c r="NRY46"/>
      <c r="NSA46" s="110"/>
      <c r="NSC46"/>
      <c r="NSE46" s="110"/>
      <c r="NSG46"/>
      <c r="NSI46" s="110"/>
      <c r="NSK46"/>
      <c r="NSM46" s="110"/>
      <c r="NSO46"/>
      <c r="NSQ46" s="110"/>
      <c r="NSS46"/>
      <c r="NSU46" s="110"/>
      <c r="NSW46"/>
      <c r="NSY46" s="110"/>
      <c r="NTA46"/>
      <c r="NTC46" s="110"/>
      <c r="NTE46"/>
      <c r="NTG46" s="110"/>
      <c r="NTI46"/>
      <c r="NTK46" s="110"/>
      <c r="NTM46"/>
      <c r="NTO46" s="110"/>
      <c r="NTQ46"/>
      <c r="NTS46" s="110"/>
      <c r="NTU46"/>
      <c r="NTW46" s="110"/>
      <c r="NTY46"/>
      <c r="NUA46" s="110"/>
      <c r="NUC46"/>
      <c r="NUE46" s="110"/>
      <c r="NUG46"/>
      <c r="NUI46" s="110"/>
      <c r="NUK46"/>
      <c r="NUM46" s="110"/>
      <c r="NUO46"/>
      <c r="NUQ46" s="110"/>
      <c r="NUS46"/>
      <c r="NUU46" s="110"/>
      <c r="NUW46"/>
      <c r="NUY46" s="110"/>
      <c r="NVA46"/>
      <c r="NVC46" s="110"/>
      <c r="NVE46"/>
      <c r="NVG46" s="110"/>
      <c r="NVI46"/>
      <c r="NVK46" s="110"/>
      <c r="NVM46"/>
      <c r="NVO46" s="110"/>
      <c r="NVQ46"/>
      <c r="NVS46" s="110"/>
      <c r="NVU46"/>
      <c r="NVW46" s="110"/>
      <c r="NVY46"/>
      <c r="NWA46" s="110"/>
      <c r="NWC46"/>
      <c r="NWE46" s="110"/>
      <c r="NWG46"/>
      <c r="NWI46" s="110"/>
      <c r="NWK46"/>
      <c r="NWM46" s="110"/>
      <c r="NWO46"/>
      <c r="NWQ46" s="110"/>
      <c r="NWS46"/>
      <c r="NWU46" s="110"/>
      <c r="NWW46"/>
      <c r="NWY46" s="110"/>
      <c r="NXA46"/>
      <c r="NXC46" s="110"/>
      <c r="NXE46"/>
      <c r="NXG46" s="110"/>
      <c r="NXI46"/>
      <c r="NXK46" s="110"/>
      <c r="NXM46"/>
      <c r="NXO46" s="110"/>
      <c r="NXQ46"/>
      <c r="NXS46" s="110"/>
      <c r="NXU46"/>
      <c r="NXW46" s="110"/>
      <c r="NXY46"/>
      <c r="NYA46" s="110"/>
      <c r="NYC46"/>
      <c r="NYE46" s="110"/>
      <c r="NYG46"/>
      <c r="NYI46" s="110"/>
      <c r="NYK46"/>
      <c r="NYM46" s="110"/>
      <c r="NYO46"/>
      <c r="NYQ46" s="110"/>
      <c r="NYS46"/>
      <c r="NYU46" s="110"/>
      <c r="NYW46"/>
      <c r="NYY46" s="110"/>
      <c r="NZA46"/>
      <c r="NZC46" s="110"/>
      <c r="NZE46"/>
      <c r="NZG46" s="110"/>
      <c r="NZI46"/>
      <c r="NZK46" s="110"/>
      <c r="NZM46"/>
      <c r="NZO46" s="110"/>
      <c r="NZQ46"/>
      <c r="NZS46" s="110"/>
      <c r="NZU46"/>
      <c r="NZW46" s="110"/>
      <c r="NZY46"/>
      <c r="OAA46" s="110"/>
      <c r="OAC46"/>
      <c r="OAE46" s="110"/>
      <c r="OAG46"/>
      <c r="OAI46" s="110"/>
      <c r="OAK46"/>
      <c r="OAM46" s="110"/>
      <c r="OAO46"/>
      <c r="OAQ46" s="110"/>
      <c r="OAS46"/>
      <c r="OAU46" s="110"/>
      <c r="OAW46"/>
      <c r="OAY46" s="110"/>
      <c r="OBA46"/>
      <c r="OBC46" s="110"/>
      <c r="OBE46"/>
      <c r="OBG46" s="110"/>
      <c r="OBI46"/>
      <c r="OBK46" s="110"/>
      <c r="OBM46"/>
      <c r="OBO46" s="110"/>
      <c r="OBQ46"/>
      <c r="OBS46" s="110"/>
      <c r="OBU46"/>
      <c r="OBW46" s="110"/>
      <c r="OBY46"/>
      <c r="OCA46" s="110"/>
      <c r="OCC46"/>
      <c r="OCE46" s="110"/>
      <c r="OCG46"/>
      <c r="OCI46" s="110"/>
      <c r="OCK46"/>
      <c r="OCM46" s="110"/>
      <c r="OCO46"/>
      <c r="OCQ46" s="110"/>
      <c r="OCS46"/>
      <c r="OCU46" s="110"/>
      <c r="OCW46"/>
      <c r="OCY46" s="110"/>
      <c r="ODA46"/>
      <c r="ODC46" s="110"/>
      <c r="ODE46"/>
      <c r="ODG46" s="110"/>
      <c r="ODI46"/>
      <c r="ODK46" s="110"/>
      <c r="ODM46"/>
      <c r="ODO46" s="110"/>
      <c r="ODQ46"/>
      <c r="ODS46" s="110"/>
      <c r="ODU46"/>
      <c r="ODW46" s="110"/>
      <c r="ODY46"/>
      <c r="OEA46" s="110"/>
      <c r="OEC46"/>
      <c r="OEE46" s="110"/>
      <c r="OEG46"/>
      <c r="OEI46" s="110"/>
      <c r="OEK46"/>
      <c r="OEM46" s="110"/>
      <c r="OEO46"/>
      <c r="OEQ46" s="110"/>
      <c r="OES46"/>
      <c r="OEU46" s="110"/>
      <c r="OEW46"/>
      <c r="OEY46" s="110"/>
      <c r="OFA46"/>
      <c r="OFC46" s="110"/>
      <c r="OFE46"/>
      <c r="OFG46" s="110"/>
      <c r="OFI46"/>
      <c r="OFK46" s="110"/>
      <c r="OFM46"/>
      <c r="OFO46" s="110"/>
      <c r="OFQ46"/>
      <c r="OFS46" s="110"/>
      <c r="OFU46"/>
      <c r="OFW46" s="110"/>
      <c r="OFY46"/>
      <c r="OGA46" s="110"/>
      <c r="OGC46"/>
      <c r="OGE46" s="110"/>
      <c r="OGG46"/>
      <c r="OGI46" s="110"/>
      <c r="OGK46"/>
      <c r="OGM46" s="110"/>
      <c r="OGO46"/>
      <c r="OGQ46" s="110"/>
      <c r="OGS46"/>
      <c r="OGU46" s="110"/>
      <c r="OGW46"/>
      <c r="OGY46" s="110"/>
      <c r="OHA46"/>
      <c r="OHC46" s="110"/>
      <c r="OHE46"/>
      <c r="OHG46" s="110"/>
      <c r="OHI46"/>
      <c r="OHK46" s="110"/>
      <c r="OHM46"/>
      <c r="OHO46" s="110"/>
      <c r="OHQ46"/>
      <c r="OHS46" s="110"/>
      <c r="OHU46"/>
      <c r="OHW46" s="110"/>
      <c r="OHY46"/>
      <c r="OIA46" s="110"/>
      <c r="OIC46"/>
      <c r="OIE46" s="110"/>
      <c r="OIG46"/>
      <c r="OII46" s="110"/>
      <c r="OIK46"/>
      <c r="OIM46" s="110"/>
      <c r="OIO46"/>
      <c r="OIQ46" s="110"/>
      <c r="OIS46"/>
      <c r="OIU46" s="110"/>
      <c r="OIW46"/>
      <c r="OIY46" s="110"/>
      <c r="OJA46"/>
      <c r="OJC46" s="110"/>
      <c r="OJE46"/>
      <c r="OJG46" s="110"/>
      <c r="OJI46"/>
      <c r="OJK46" s="110"/>
      <c r="OJM46"/>
      <c r="OJO46" s="110"/>
      <c r="OJQ46"/>
      <c r="OJS46" s="110"/>
      <c r="OJU46"/>
      <c r="OJW46" s="110"/>
      <c r="OJY46"/>
      <c r="OKA46" s="110"/>
      <c r="OKC46"/>
      <c r="OKE46" s="110"/>
      <c r="OKG46"/>
      <c r="OKI46" s="110"/>
      <c r="OKK46"/>
      <c r="OKM46" s="110"/>
      <c r="OKO46"/>
      <c r="OKQ46" s="110"/>
      <c r="OKS46"/>
      <c r="OKU46" s="110"/>
      <c r="OKW46"/>
      <c r="OKY46" s="110"/>
      <c r="OLA46"/>
      <c r="OLC46" s="110"/>
      <c r="OLE46"/>
      <c r="OLG46" s="110"/>
      <c r="OLI46"/>
      <c r="OLK46" s="110"/>
      <c r="OLM46"/>
      <c r="OLO46" s="110"/>
      <c r="OLQ46"/>
      <c r="OLS46" s="110"/>
      <c r="OLU46"/>
      <c r="OLW46" s="110"/>
      <c r="OLY46"/>
      <c r="OMA46" s="110"/>
      <c r="OMC46"/>
      <c r="OME46" s="110"/>
      <c r="OMG46"/>
      <c r="OMI46" s="110"/>
      <c r="OMK46"/>
      <c r="OMM46" s="110"/>
      <c r="OMO46"/>
      <c r="OMQ46" s="110"/>
      <c r="OMS46"/>
      <c r="OMU46" s="110"/>
      <c r="OMW46"/>
      <c r="OMY46" s="110"/>
      <c r="ONA46"/>
      <c r="ONC46" s="110"/>
      <c r="ONE46"/>
      <c r="ONG46" s="110"/>
      <c r="ONI46"/>
      <c r="ONK46" s="110"/>
      <c r="ONM46"/>
      <c r="ONO46" s="110"/>
      <c r="ONQ46"/>
      <c r="ONS46" s="110"/>
      <c r="ONU46"/>
      <c r="ONW46" s="110"/>
      <c r="ONY46"/>
      <c r="OOA46" s="110"/>
      <c r="OOC46"/>
      <c r="OOE46" s="110"/>
      <c r="OOG46"/>
      <c r="OOI46" s="110"/>
      <c r="OOK46"/>
      <c r="OOM46" s="110"/>
      <c r="OOO46"/>
      <c r="OOQ46" s="110"/>
      <c r="OOS46"/>
      <c r="OOU46" s="110"/>
      <c r="OOW46"/>
      <c r="OOY46" s="110"/>
      <c r="OPA46"/>
      <c r="OPC46" s="110"/>
      <c r="OPE46"/>
      <c r="OPG46" s="110"/>
      <c r="OPI46"/>
      <c r="OPK46" s="110"/>
      <c r="OPM46"/>
      <c r="OPO46" s="110"/>
      <c r="OPQ46"/>
      <c r="OPS46" s="110"/>
      <c r="OPU46"/>
      <c r="OPW46" s="110"/>
      <c r="OPY46"/>
      <c r="OQA46" s="110"/>
      <c r="OQC46"/>
      <c r="OQE46" s="110"/>
      <c r="OQG46"/>
      <c r="OQI46" s="110"/>
      <c r="OQK46"/>
      <c r="OQM46" s="110"/>
      <c r="OQO46"/>
      <c r="OQQ46" s="110"/>
      <c r="OQS46"/>
      <c r="OQU46" s="110"/>
      <c r="OQW46"/>
      <c r="OQY46" s="110"/>
      <c r="ORA46"/>
      <c r="ORC46" s="110"/>
      <c r="ORE46"/>
      <c r="ORG46" s="110"/>
      <c r="ORI46"/>
      <c r="ORK46" s="110"/>
      <c r="ORM46"/>
      <c r="ORO46" s="110"/>
      <c r="ORQ46"/>
      <c r="ORS46" s="110"/>
      <c r="ORU46"/>
      <c r="ORW46" s="110"/>
      <c r="ORY46"/>
      <c r="OSA46" s="110"/>
      <c r="OSC46"/>
      <c r="OSE46" s="110"/>
      <c r="OSG46"/>
      <c r="OSI46" s="110"/>
      <c r="OSK46"/>
      <c r="OSM46" s="110"/>
      <c r="OSO46"/>
      <c r="OSQ46" s="110"/>
      <c r="OSS46"/>
      <c r="OSU46" s="110"/>
      <c r="OSW46"/>
      <c r="OSY46" s="110"/>
      <c r="OTA46"/>
      <c r="OTC46" s="110"/>
      <c r="OTE46"/>
      <c r="OTG46" s="110"/>
      <c r="OTI46"/>
      <c r="OTK46" s="110"/>
      <c r="OTM46"/>
      <c r="OTO46" s="110"/>
      <c r="OTQ46"/>
      <c r="OTS46" s="110"/>
      <c r="OTU46"/>
      <c r="OTW46" s="110"/>
      <c r="OTY46"/>
      <c r="OUA46" s="110"/>
      <c r="OUC46"/>
      <c r="OUE46" s="110"/>
      <c r="OUG46"/>
      <c r="OUI46" s="110"/>
      <c r="OUK46"/>
      <c r="OUM46" s="110"/>
      <c r="OUO46"/>
      <c r="OUQ46" s="110"/>
      <c r="OUS46"/>
      <c r="OUU46" s="110"/>
      <c r="OUW46"/>
      <c r="OUY46" s="110"/>
      <c r="OVA46"/>
      <c r="OVC46" s="110"/>
      <c r="OVE46"/>
      <c r="OVG46" s="110"/>
      <c r="OVI46"/>
      <c r="OVK46" s="110"/>
      <c r="OVM46"/>
      <c r="OVO46" s="110"/>
      <c r="OVQ46"/>
      <c r="OVS46" s="110"/>
      <c r="OVU46"/>
      <c r="OVW46" s="110"/>
      <c r="OVY46"/>
      <c r="OWA46" s="110"/>
      <c r="OWC46"/>
      <c r="OWE46" s="110"/>
      <c r="OWG46"/>
      <c r="OWI46" s="110"/>
      <c r="OWK46"/>
      <c r="OWM46" s="110"/>
      <c r="OWO46"/>
      <c r="OWQ46" s="110"/>
      <c r="OWS46"/>
      <c r="OWU46" s="110"/>
      <c r="OWW46"/>
      <c r="OWY46" s="110"/>
      <c r="OXA46"/>
      <c r="OXC46" s="110"/>
      <c r="OXE46"/>
      <c r="OXG46" s="110"/>
      <c r="OXI46"/>
      <c r="OXK46" s="110"/>
      <c r="OXM46"/>
      <c r="OXO46" s="110"/>
      <c r="OXQ46"/>
      <c r="OXS46" s="110"/>
      <c r="OXU46"/>
      <c r="OXW46" s="110"/>
      <c r="OXY46"/>
      <c r="OYA46" s="110"/>
      <c r="OYC46"/>
      <c r="OYE46" s="110"/>
      <c r="OYG46"/>
      <c r="OYI46" s="110"/>
      <c r="OYK46"/>
      <c r="OYM46" s="110"/>
      <c r="OYO46"/>
      <c r="OYQ46" s="110"/>
      <c r="OYS46"/>
      <c r="OYU46" s="110"/>
      <c r="OYW46"/>
      <c r="OYY46" s="110"/>
      <c r="OZA46"/>
      <c r="OZC46" s="110"/>
      <c r="OZE46"/>
      <c r="OZG46" s="110"/>
      <c r="OZI46"/>
      <c r="OZK46" s="110"/>
      <c r="OZM46"/>
      <c r="OZO46" s="110"/>
      <c r="OZQ46"/>
      <c r="OZS46" s="110"/>
      <c r="OZU46"/>
      <c r="OZW46" s="110"/>
      <c r="OZY46"/>
      <c r="PAA46" s="110"/>
      <c r="PAC46"/>
      <c r="PAE46" s="110"/>
      <c r="PAG46"/>
      <c r="PAI46" s="110"/>
      <c r="PAK46"/>
      <c r="PAM46" s="110"/>
      <c r="PAO46"/>
      <c r="PAQ46" s="110"/>
      <c r="PAS46"/>
      <c r="PAU46" s="110"/>
      <c r="PAW46"/>
      <c r="PAY46" s="110"/>
      <c r="PBA46"/>
      <c r="PBC46" s="110"/>
      <c r="PBE46"/>
      <c r="PBG46" s="110"/>
      <c r="PBI46"/>
      <c r="PBK46" s="110"/>
      <c r="PBM46"/>
      <c r="PBO46" s="110"/>
      <c r="PBQ46"/>
      <c r="PBS46" s="110"/>
      <c r="PBU46"/>
      <c r="PBW46" s="110"/>
      <c r="PBY46"/>
      <c r="PCA46" s="110"/>
      <c r="PCC46"/>
      <c r="PCE46" s="110"/>
      <c r="PCG46"/>
      <c r="PCI46" s="110"/>
      <c r="PCK46"/>
      <c r="PCM46" s="110"/>
      <c r="PCO46"/>
      <c r="PCQ46" s="110"/>
      <c r="PCS46"/>
      <c r="PCU46" s="110"/>
      <c r="PCW46"/>
      <c r="PCY46" s="110"/>
      <c r="PDA46"/>
      <c r="PDC46" s="110"/>
      <c r="PDE46"/>
      <c r="PDG46" s="110"/>
      <c r="PDI46"/>
      <c r="PDK46" s="110"/>
      <c r="PDM46"/>
      <c r="PDO46" s="110"/>
      <c r="PDQ46"/>
      <c r="PDS46" s="110"/>
      <c r="PDU46"/>
      <c r="PDW46" s="110"/>
      <c r="PDY46"/>
      <c r="PEA46" s="110"/>
      <c r="PEC46"/>
      <c r="PEE46" s="110"/>
      <c r="PEG46"/>
      <c r="PEI46" s="110"/>
      <c r="PEK46"/>
      <c r="PEM46" s="110"/>
      <c r="PEO46"/>
      <c r="PEQ46" s="110"/>
      <c r="PES46"/>
      <c r="PEU46" s="110"/>
      <c r="PEW46"/>
      <c r="PEY46" s="110"/>
      <c r="PFA46"/>
      <c r="PFC46" s="110"/>
      <c r="PFE46"/>
      <c r="PFG46" s="110"/>
      <c r="PFI46"/>
      <c r="PFK46" s="110"/>
      <c r="PFM46"/>
      <c r="PFO46" s="110"/>
      <c r="PFQ46"/>
      <c r="PFS46" s="110"/>
      <c r="PFU46"/>
      <c r="PFW46" s="110"/>
      <c r="PFY46"/>
      <c r="PGA46" s="110"/>
      <c r="PGC46"/>
      <c r="PGE46" s="110"/>
      <c r="PGG46"/>
      <c r="PGI46" s="110"/>
      <c r="PGK46"/>
      <c r="PGM46" s="110"/>
      <c r="PGO46"/>
      <c r="PGQ46" s="110"/>
      <c r="PGS46"/>
      <c r="PGU46" s="110"/>
      <c r="PGW46"/>
      <c r="PGY46" s="110"/>
      <c r="PHA46"/>
      <c r="PHC46" s="110"/>
      <c r="PHE46"/>
      <c r="PHG46" s="110"/>
      <c r="PHI46"/>
      <c r="PHK46" s="110"/>
      <c r="PHM46"/>
      <c r="PHO46" s="110"/>
      <c r="PHQ46"/>
      <c r="PHS46" s="110"/>
      <c r="PHU46"/>
      <c r="PHW46" s="110"/>
      <c r="PHY46"/>
      <c r="PIA46" s="110"/>
      <c r="PIC46"/>
      <c r="PIE46" s="110"/>
      <c r="PIG46"/>
      <c r="PII46" s="110"/>
      <c r="PIK46"/>
      <c r="PIM46" s="110"/>
      <c r="PIO46"/>
      <c r="PIQ46" s="110"/>
      <c r="PIS46"/>
      <c r="PIU46" s="110"/>
      <c r="PIW46"/>
      <c r="PIY46" s="110"/>
      <c r="PJA46"/>
      <c r="PJC46" s="110"/>
      <c r="PJE46"/>
      <c r="PJG46" s="110"/>
      <c r="PJI46"/>
      <c r="PJK46" s="110"/>
      <c r="PJM46"/>
      <c r="PJO46" s="110"/>
      <c r="PJQ46"/>
      <c r="PJS46" s="110"/>
      <c r="PJU46"/>
      <c r="PJW46" s="110"/>
      <c r="PJY46"/>
      <c r="PKA46" s="110"/>
      <c r="PKC46"/>
      <c r="PKE46" s="110"/>
      <c r="PKG46"/>
      <c r="PKI46" s="110"/>
      <c r="PKK46"/>
      <c r="PKM46" s="110"/>
      <c r="PKO46"/>
      <c r="PKQ46" s="110"/>
      <c r="PKS46"/>
      <c r="PKU46" s="110"/>
      <c r="PKW46"/>
      <c r="PKY46" s="110"/>
      <c r="PLA46"/>
      <c r="PLC46" s="110"/>
      <c r="PLE46"/>
      <c r="PLG46" s="110"/>
      <c r="PLI46"/>
      <c r="PLK46" s="110"/>
      <c r="PLM46"/>
      <c r="PLO46" s="110"/>
      <c r="PLQ46"/>
      <c r="PLS46" s="110"/>
      <c r="PLU46"/>
      <c r="PLW46" s="110"/>
      <c r="PLY46"/>
      <c r="PMA46" s="110"/>
      <c r="PMC46"/>
      <c r="PME46" s="110"/>
      <c r="PMG46"/>
      <c r="PMI46" s="110"/>
      <c r="PMK46"/>
      <c r="PMM46" s="110"/>
      <c r="PMO46"/>
      <c r="PMQ46" s="110"/>
      <c r="PMS46"/>
      <c r="PMU46" s="110"/>
      <c r="PMW46"/>
      <c r="PMY46" s="110"/>
      <c r="PNA46"/>
      <c r="PNC46" s="110"/>
      <c r="PNE46"/>
      <c r="PNG46" s="110"/>
      <c r="PNI46"/>
      <c r="PNK46" s="110"/>
      <c r="PNM46"/>
      <c r="PNO46" s="110"/>
      <c r="PNQ46"/>
      <c r="PNS46" s="110"/>
      <c r="PNU46"/>
      <c r="PNW46" s="110"/>
      <c r="PNY46"/>
      <c r="POA46" s="110"/>
      <c r="POC46"/>
      <c r="POE46" s="110"/>
      <c r="POG46"/>
      <c r="POI46" s="110"/>
      <c r="POK46"/>
      <c r="POM46" s="110"/>
      <c r="POO46"/>
      <c r="POQ46" s="110"/>
      <c r="POS46"/>
      <c r="POU46" s="110"/>
      <c r="POW46"/>
      <c r="POY46" s="110"/>
      <c r="PPA46"/>
      <c r="PPC46" s="110"/>
      <c r="PPE46"/>
      <c r="PPG46" s="110"/>
      <c r="PPI46"/>
      <c r="PPK46" s="110"/>
      <c r="PPM46"/>
      <c r="PPO46" s="110"/>
      <c r="PPQ46"/>
      <c r="PPS46" s="110"/>
      <c r="PPU46"/>
      <c r="PPW46" s="110"/>
      <c r="PPY46"/>
      <c r="PQA46" s="110"/>
      <c r="PQC46"/>
      <c r="PQE46" s="110"/>
      <c r="PQG46"/>
      <c r="PQI46" s="110"/>
      <c r="PQK46"/>
      <c r="PQM46" s="110"/>
      <c r="PQO46"/>
      <c r="PQQ46" s="110"/>
      <c r="PQS46"/>
      <c r="PQU46" s="110"/>
      <c r="PQW46"/>
      <c r="PQY46" s="110"/>
      <c r="PRA46"/>
      <c r="PRC46" s="110"/>
      <c r="PRE46"/>
      <c r="PRG46" s="110"/>
      <c r="PRI46"/>
      <c r="PRK46" s="110"/>
      <c r="PRM46"/>
      <c r="PRO46" s="110"/>
      <c r="PRQ46"/>
      <c r="PRS46" s="110"/>
      <c r="PRU46"/>
      <c r="PRW46" s="110"/>
      <c r="PRY46"/>
      <c r="PSA46" s="110"/>
      <c r="PSC46"/>
      <c r="PSE46" s="110"/>
      <c r="PSG46"/>
      <c r="PSI46" s="110"/>
      <c r="PSK46"/>
      <c r="PSM46" s="110"/>
      <c r="PSO46"/>
      <c r="PSQ46" s="110"/>
      <c r="PSS46"/>
      <c r="PSU46" s="110"/>
      <c r="PSW46"/>
      <c r="PSY46" s="110"/>
      <c r="PTA46"/>
      <c r="PTC46" s="110"/>
      <c r="PTE46"/>
      <c r="PTG46" s="110"/>
      <c r="PTI46"/>
      <c r="PTK46" s="110"/>
      <c r="PTM46"/>
      <c r="PTO46" s="110"/>
      <c r="PTQ46"/>
      <c r="PTS46" s="110"/>
      <c r="PTU46"/>
      <c r="PTW46" s="110"/>
      <c r="PTY46"/>
      <c r="PUA46" s="110"/>
      <c r="PUC46"/>
      <c r="PUE46" s="110"/>
      <c r="PUG46"/>
      <c r="PUI46" s="110"/>
      <c r="PUK46"/>
      <c r="PUM46" s="110"/>
      <c r="PUO46"/>
      <c r="PUQ46" s="110"/>
      <c r="PUS46"/>
      <c r="PUU46" s="110"/>
      <c r="PUW46"/>
      <c r="PUY46" s="110"/>
      <c r="PVA46"/>
      <c r="PVC46" s="110"/>
      <c r="PVE46"/>
      <c r="PVG46" s="110"/>
      <c r="PVI46"/>
      <c r="PVK46" s="110"/>
      <c r="PVM46"/>
      <c r="PVO46" s="110"/>
      <c r="PVQ46"/>
      <c r="PVS46" s="110"/>
      <c r="PVU46"/>
      <c r="PVW46" s="110"/>
      <c r="PVY46"/>
      <c r="PWA46" s="110"/>
      <c r="PWC46"/>
      <c r="PWE46" s="110"/>
      <c r="PWG46"/>
      <c r="PWI46" s="110"/>
      <c r="PWK46"/>
      <c r="PWM46" s="110"/>
      <c r="PWO46"/>
      <c r="PWQ46" s="110"/>
      <c r="PWS46"/>
      <c r="PWU46" s="110"/>
      <c r="PWW46"/>
      <c r="PWY46" s="110"/>
      <c r="PXA46"/>
      <c r="PXC46" s="110"/>
      <c r="PXE46"/>
      <c r="PXG46" s="110"/>
      <c r="PXI46"/>
      <c r="PXK46" s="110"/>
      <c r="PXM46"/>
      <c r="PXO46" s="110"/>
      <c r="PXQ46"/>
      <c r="PXS46" s="110"/>
      <c r="PXU46"/>
      <c r="PXW46" s="110"/>
      <c r="PXY46"/>
      <c r="PYA46" s="110"/>
      <c r="PYC46"/>
      <c r="PYE46" s="110"/>
      <c r="PYG46"/>
      <c r="PYI46" s="110"/>
      <c r="PYK46"/>
      <c r="PYM46" s="110"/>
      <c r="PYO46"/>
      <c r="PYQ46" s="110"/>
      <c r="PYS46"/>
      <c r="PYU46" s="110"/>
      <c r="PYW46"/>
      <c r="PYY46" s="110"/>
      <c r="PZA46"/>
      <c r="PZC46" s="110"/>
      <c r="PZE46"/>
      <c r="PZG46" s="110"/>
      <c r="PZI46"/>
      <c r="PZK46" s="110"/>
      <c r="PZM46"/>
      <c r="PZO46" s="110"/>
      <c r="PZQ46"/>
      <c r="PZS46" s="110"/>
      <c r="PZU46"/>
      <c r="PZW46" s="110"/>
      <c r="PZY46"/>
      <c r="QAA46" s="110"/>
      <c r="QAC46"/>
      <c r="QAE46" s="110"/>
      <c r="QAG46"/>
      <c r="QAI46" s="110"/>
      <c r="QAK46"/>
      <c r="QAM46" s="110"/>
      <c r="QAO46"/>
      <c r="QAQ46" s="110"/>
      <c r="QAS46"/>
      <c r="QAU46" s="110"/>
      <c r="QAW46"/>
      <c r="QAY46" s="110"/>
      <c r="QBA46"/>
      <c r="QBC46" s="110"/>
      <c r="QBE46"/>
      <c r="QBG46" s="110"/>
      <c r="QBI46"/>
      <c r="QBK46" s="110"/>
      <c r="QBM46"/>
      <c r="QBO46" s="110"/>
      <c r="QBQ46"/>
      <c r="QBS46" s="110"/>
      <c r="QBU46"/>
      <c r="QBW46" s="110"/>
      <c r="QBY46"/>
      <c r="QCA46" s="110"/>
      <c r="QCC46"/>
      <c r="QCE46" s="110"/>
      <c r="QCG46"/>
      <c r="QCI46" s="110"/>
      <c r="QCK46"/>
      <c r="QCM46" s="110"/>
      <c r="QCO46"/>
      <c r="QCQ46" s="110"/>
      <c r="QCS46"/>
      <c r="QCU46" s="110"/>
      <c r="QCW46"/>
      <c r="QCY46" s="110"/>
      <c r="QDA46"/>
      <c r="QDC46" s="110"/>
      <c r="QDE46"/>
      <c r="QDG46" s="110"/>
      <c r="QDI46"/>
      <c r="QDK46" s="110"/>
      <c r="QDM46"/>
      <c r="QDO46" s="110"/>
      <c r="QDQ46"/>
      <c r="QDS46" s="110"/>
      <c r="QDU46"/>
      <c r="QDW46" s="110"/>
      <c r="QDY46"/>
      <c r="QEA46" s="110"/>
      <c r="QEC46"/>
      <c r="QEE46" s="110"/>
      <c r="QEG46"/>
      <c r="QEI46" s="110"/>
      <c r="QEK46"/>
      <c r="QEM46" s="110"/>
      <c r="QEO46"/>
      <c r="QEQ46" s="110"/>
      <c r="QES46"/>
      <c r="QEU46" s="110"/>
      <c r="QEW46"/>
      <c r="QEY46" s="110"/>
      <c r="QFA46"/>
      <c r="QFC46" s="110"/>
      <c r="QFE46"/>
      <c r="QFG46" s="110"/>
      <c r="QFI46"/>
      <c r="QFK46" s="110"/>
      <c r="QFM46"/>
      <c r="QFO46" s="110"/>
      <c r="QFQ46"/>
      <c r="QFS46" s="110"/>
      <c r="QFU46"/>
      <c r="QFW46" s="110"/>
      <c r="QFY46"/>
      <c r="QGA46" s="110"/>
      <c r="QGC46"/>
      <c r="QGE46" s="110"/>
      <c r="QGG46"/>
      <c r="QGI46" s="110"/>
      <c r="QGK46"/>
      <c r="QGM46" s="110"/>
      <c r="QGO46"/>
      <c r="QGQ46" s="110"/>
      <c r="QGS46"/>
      <c r="QGU46" s="110"/>
      <c r="QGW46"/>
      <c r="QGY46" s="110"/>
      <c r="QHA46"/>
      <c r="QHC46" s="110"/>
      <c r="QHE46"/>
      <c r="QHG46" s="110"/>
      <c r="QHI46"/>
      <c r="QHK46" s="110"/>
      <c r="QHM46"/>
      <c r="QHO46" s="110"/>
      <c r="QHQ46"/>
      <c r="QHS46" s="110"/>
      <c r="QHU46"/>
      <c r="QHW46" s="110"/>
      <c r="QHY46"/>
      <c r="QIA46" s="110"/>
      <c r="QIC46"/>
      <c r="QIE46" s="110"/>
      <c r="QIG46"/>
      <c r="QII46" s="110"/>
      <c r="QIK46"/>
      <c r="QIM46" s="110"/>
      <c r="QIO46"/>
      <c r="QIQ46" s="110"/>
      <c r="QIS46"/>
      <c r="QIU46" s="110"/>
      <c r="QIW46"/>
      <c r="QIY46" s="110"/>
      <c r="QJA46"/>
      <c r="QJC46" s="110"/>
      <c r="QJE46"/>
      <c r="QJG46" s="110"/>
      <c r="QJI46"/>
      <c r="QJK46" s="110"/>
      <c r="QJM46"/>
      <c r="QJO46" s="110"/>
      <c r="QJQ46"/>
      <c r="QJS46" s="110"/>
      <c r="QJU46"/>
      <c r="QJW46" s="110"/>
      <c r="QJY46"/>
      <c r="QKA46" s="110"/>
      <c r="QKC46"/>
      <c r="QKE46" s="110"/>
      <c r="QKG46"/>
      <c r="QKI46" s="110"/>
      <c r="QKK46"/>
      <c r="QKM46" s="110"/>
      <c r="QKO46"/>
      <c r="QKQ46" s="110"/>
      <c r="QKS46"/>
      <c r="QKU46" s="110"/>
      <c r="QKW46"/>
      <c r="QKY46" s="110"/>
      <c r="QLA46"/>
      <c r="QLC46" s="110"/>
      <c r="QLE46"/>
      <c r="QLG46" s="110"/>
      <c r="QLI46"/>
      <c r="QLK46" s="110"/>
      <c r="QLM46"/>
      <c r="QLO46" s="110"/>
      <c r="QLQ46"/>
      <c r="QLS46" s="110"/>
      <c r="QLU46"/>
      <c r="QLW46" s="110"/>
      <c r="QLY46"/>
      <c r="QMA46" s="110"/>
      <c r="QMC46"/>
      <c r="QME46" s="110"/>
      <c r="QMG46"/>
      <c r="QMI46" s="110"/>
      <c r="QMK46"/>
      <c r="QMM46" s="110"/>
      <c r="QMO46"/>
      <c r="QMQ46" s="110"/>
      <c r="QMS46"/>
      <c r="QMU46" s="110"/>
      <c r="QMW46"/>
      <c r="QMY46" s="110"/>
      <c r="QNA46"/>
      <c r="QNC46" s="110"/>
      <c r="QNE46"/>
      <c r="QNG46" s="110"/>
      <c r="QNI46"/>
      <c r="QNK46" s="110"/>
      <c r="QNM46"/>
      <c r="QNO46" s="110"/>
      <c r="QNQ46"/>
      <c r="QNS46" s="110"/>
      <c r="QNU46"/>
      <c r="QNW46" s="110"/>
      <c r="QNY46"/>
      <c r="QOA46" s="110"/>
      <c r="QOC46"/>
      <c r="QOE46" s="110"/>
      <c r="QOG46"/>
      <c r="QOI46" s="110"/>
      <c r="QOK46"/>
      <c r="QOM46" s="110"/>
      <c r="QOO46"/>
      <c r="QOQ46" s="110"/>
      <c r="QOS46"/>
      <c r="QOU46" s="110"/>
      <c r="QOW46"/>
      <c r="QOY46" s="110"/>
      <c r="QPA46"/>
      <c r="QPC46" s="110"/>
      <c r="QPE46"/>
      <c r="QPG46" s="110"/>
      <c r="QPI46"/>
      <c r="QPK46" s="110"/>
      <c r="QPM46"/>
      <c r="QPO46" s="110"/>
      <c r="QPQ46"/>
      <c r="QPS46" s="110"/>
      <c r="QPU46"/>
      <c r="QPW46" s="110"/>
      <c r="QPY46"/>
      <c r="QQA46" s="110"/>
      <c r="QQC46"/>
      <c r="QQE46" s="110"/>
      <c r="QQG46"/>
      <c r="QQI46" s="110"/>
      <c r="QQK46"/>
      <c r="QQM46" s="110"/>
      <c r="QQO46"/>
      <c r="QQQ46" s="110"/>
      <c r="QQS46"/>
      <c r="QQU46" s="110"/>
      <c r="QQW46"/>
      <c r="QQY46" s="110"/>
      <c r="QRA46"/>
      <c r="QRC46" s="110"/>
      <c r="QRE46"/>
      <c r="QRG46" s="110"/>
      <c r="QRI46"/>
      <c r="QRK46" s="110"/>
      <c r="QRM46"/>
      <c r="QRO46" s="110"/>
      <c r="QRQ46"/>
      <c r="QRS46" s="110"/>
      <c r="QRU46"/>
      <c r="QRW46" s="110"/>
      <c r="QRY46"/>
      <c r="QSA46" s="110"/>
      <c r="QSC46"/>
      <c r="QSE46" s="110"/>
      <c r="QSG46"/>
      <c r="QSI46" s="110"/>
      <c r="QSK46"/>
      <c r="QSM46" s="110"/>
      <c r="QSO46"/>
      <c r="QSQ46" s="110"/>
      <c r="QSS46"/>
      <c r="QSU46" s="110"/>
      <c r="QSW46"/>
      <c r="QSY46" s="110"/>
      <c r="QTA46"/>
      <c r="QTC46" s="110"/>
      <c r="QTE46"/>
      <c r="QTG46" s="110"/>
      <c r="QTI46"/>
      <c r="QTK46" s="110"/>
      <c r="QTM46"/>
      <c r="QTO46" s="110"/>
      <c r="QTQ46"/>
      <c r="QTS46" s="110"/>
      <c r="QTU46"/>
      <c r="QTW46" s="110"/>
      <c r="QTY46"/>
      <c r="QUA46" s="110"/>
      <c r="QUC46"/>
      <c r="QUE46" s="110"/>
      <c r="QUG46"/>
      <c r="QUI46" s="110"/>
      <c r="QUK46"/>
      <c r="QUM46" s="110"/>
      <c r="QUO46"/>
      <c r="QUQ46" s="110"/>
      <c r="QUS46"/>
      <c r="QUU46" s="110"/>
      <c r="QUW46"/>
      <c r="QUY46" s="110"/>
      <c r="QVA46"/>
      <c r="QVC46" s="110"/>
      <c r="QVE46"/>
      <c r="QVG46" s="110"/>
      <c r="QVI46"/>
      <c r="QVK46" s="110"/>
      <c r="QVM46"/>
      <c r="QVO46" s="110"/>
      <c r="QVQ46"/>
      <c r="QVS46" s="110"/>
      <c r="QVU46"/>
      <c r="QVW46" s="110"/>
      <c r="QVY46"/>
      <c r="QWA46" s="110"/>
      <c r="QWC46"/>
      <c r="QWE46" s="110"/>
      <c r="QWG46"/>
      <c r="QWI46" s="110"/>
      <c r="QWK46"/>
      <c r="QWM46" s="110"/>
      <c r="QWO46"/>
      <c r="QWQ46" s="110"/>
      <c r="QWS46"/>
      <c r="QWU46" s="110"/>
      <c r="QWW46"/>
      <c r="QWY46" s="110"/>
      <c r="QXA46"/>
      <c r="QXC46" s="110"/>
      <c r="QXE46"/>
      <c r="QXG46" s="110"/>
      <c r="QXI46"/>
      <c r="QXK46" s="110"/>
      <c r="QXM46"/>
      <c r="QXO46" s="110"/>
      <c r="QXQ46"/>
      <c r="QXS46" s="110"/>
      <c r="QXU46"/>
      <c r="QXW46" s="110"/>
      <c r="QXY46"/>
      <c r="QYA46" s="110"/>
      <c r="QYC46"/>
      <c r="QYE46" s="110"/>
      <c r="QYG46"/>
      <c r="QYI46" s="110"/>
      <c r="QYK46"/>
      <c r="QYM46" s="110"/>
      <c r="QYO46"/>
      <c r="QYQ46" s="110"/>
      <c r="QYS46"/>
      <c r="QYU46" s="110"/>
      <c r="QYW46"/>
      <c r="QYY46" s="110"/>
      <c r="QZA46"/>
      <c r="QZC46" s="110"/>
      <c r="QZE46"/>
      <c r="QZG46" s="110"/>
      <c r="QZI46"/>
      <c r="QZK46" s="110"/>
      <c r="QZM46"/>
      <c r="QZO46" s="110"/>
      <c r="QZQ46"/>
      <c r="QZS46" s="110"/>
      <c r="QZU46"/>
      <c r="QZW46" s="110"/>
      <c r="QZY46"/>
      <c r="RAA46" s="110"/>
      <c r="RAC46"/>
      <c r="RAE46" s="110"/>
      <c r="RAG46"/>
      <c r="RAI46" s="110"/>
      <c r="RAK46"/>
      <c r="RAM46" s="110"/>
      <c r="RAO46"/>
      <c r="RAQ46" s="110"/>
      <c r="RAS46"/>
      <c r="RAU46" s="110"/>
      <c r="RAW46"/>
      <c r="RAY46" s="110"/>
      <c r="RBA46"/>
      <c r="RBC46" s="110"/>
      <c r="RBE46"/>
      <c r="RBG46" s="110"/>
      <c r="RBI46"/>
      <c r="RBK46" s="110"/>
      <c r="RBM46"/>
      <c r="RBO46" s="110"/>
      <c r="RBQ46"/>
      <c r="RBS46" s="110"/>
      <c r="RBU46"/>
      <c r="RBW46" s="110"/>
      <c r="RBY46"/>
      <c r="RCA46" s="110"/>
      <c r="RCC46"/>
      <c r="RCE46" s="110"/>
      <c r="RCG46"/>
      <c r="RCI46" s="110"/>
      <c r="RCK46"/>
      <c r="RCM46" s="110"/>
      <c r="RCO46"/>
      <c r="RCQ46" s="110"/>
      <c r="RCS46"/>
      <c r="RCU46" s="110"/>
      <c r="RCW46"/>
      <c r="RCY46" s="110"/>
      <c r="RDA46"/>
      <c r="RDC46" s="110"/>
      <c r="RDE46"/>
      <c r="RDG46" s="110"/>
      <c r="RDI46"/>
      <c r="RDK46" s="110"/>
      <c r="RDM46"/>
      <c r="RDO46" s="110"/>
      <c r="RDQ46"/>
      <c r="RDS46" s="110"/>
      <c r="RDU46"/>
      <c r="RDW46" s="110"/>
      <c r="RDY46"/>
      <c r="REA46" s="110"/>
      <c r="REC46"/>
      <c r="REE46" s="110"/>
      <c r="REG46"/>
      <c r="REI46" s="110"/>
      <c r="REK46"/>
      <c r="REM46" s="110"/>
      <c r="REO46"/>
      <c r="REQ46" s="110"/>
      <c r="RES46"/>
      <c r="REU46" s="110"/>
      <c r="REW46"/>
      <c r="REY46" s="110"/>
      <c r="RFA46"/>
      <c r="RFC46" s="110"/>
      <c r="RFE46"/>
      <c r="RFG46" s="110"/>
      <c r="RFI46"/>
      <c r="RFK46" s="110"/>
      <c r="RFM46"/>
      <c r="RFO46" s="110"/>
      <c r="RFQ46"/>
      <c r="RFS46" s="110"/>
      <c r="RFU46"/>
      <c r="RFW46" s="110"/>
      <c r="RFY46"/>
      <c r="RGA46" s="110"/>
      <c r="RGC46"/>
      <c r="RGE46" s="110"/>
      <c r="RGG46"/>
      <c r="RGI46" s="110"/>
      <c r="RGK46"/>
      <c r="RGM46" s="110"/>
      <c r="RGO46"/>
      <c r="RGQ46" s="110"/>
      <c r="RGS46"/>
      <c r="RGU46" s="110"/>
      <c r="RGW46"/>
      <c r="RGY46" s="110"/>
      <c r="RHA46"/>
      <c r="RHC46" s="110"/>
      <c r="RHE46"/>
      <c r="RHG46" s="110"/>
      <c r="RHI46"/>
      <c r="RHK46" s="110"/>
      <c r="RHM46"/>
      <c r="RHO46" s="110"/>
      <c r="RHQ46"/>
      <c r="RHS46" s="110"/>
      <c r="RHU46"/>
      <c r="RHW46" s="110"/>
      <c r="RHY46"/>
      <c r="RIA46" s="110"/>
      <c r="RIC46"/>
      <c r="RIE46" s="110"/>
      <c r="RIG46"/>
      <c r="RII46" s="110"/>
      <c r="RIK46"/>
      <c r="RIM46" s="110"/>
      <c r="RIO46"/>
      <c r="RIQ46" s="110"/>
      <c r="RIS46"/>
      <c r="RIU46" s="110"/>
      <c r="RIW46"/>
      <c r="RIY46" s="110"/>
      <c r="RJA46"/>
      <c r="RJC46" s="110"/>
      <c r="RJE46"/>
      <c r="RJG46" s="110"/>
      <c r="RJI46"/>
      <c r="RJK46" s="110"/>
      <c r="RJM46"/>
      <c r="RJO46" s="110"/>
      <c r="RJQ46"/>
      <c r="RJS46" s="110"/>
      <c r="RJU46"/>
      <c r="RJW46" s="110"/>
      <c r="RJY46"/>
      <c r="RKA46" s="110"/>
      <c r="RKC46"/>
      <c r="RKE46" s="110"/>
      <c r="RKG46"/>
      <c r="RKI46" s="110"/>
      <c r="RKK46"/>
      <c r="RKM46" s="110"/>
      <c r="RKO46"/>
      <c r="RKQ46" s="110"/>
      <c r="RKS46"/>
      <c r="RKU46" s="110"/>
      <c r="RKW46"/>
      <c r="RKY46" s="110"/>
      <c r="RLA46"/>
      <c r="RLC46" s="110"/>
      <c r="RLE46"/>
      <c r="RLG46" s="110"/>
      <c r="RLI46"/>
      <c r="RLK46" s="110"/>
      <c r="RLM46"/>
      <c r="RLO46" s="110"/>
      <c r="RLQ46"/>
      <c r="RLS46" s="110"/>
      <c r="RLU46"/>
      <c r="RLW46" s="110"/>
      <c r="RLY46"/>
      <c r="RMA46" s="110"/>
      <c r="RMC46"/>
      <c r="RME46" s="110"/>
      <c r="RMG46"/>
      <c r="RMI46" s="110"/>
      <c r="RMK46"/>
      <c r="RMM46" s="110"/>
      <c r="RMO46"/>
      <c r="RMQ46" s="110"/>
      <c r="RMS46"/>
      <c r="RMU46" s="110"/>
      <c r="RMW46"/>
      <c r="RMY46" s="110"/>
      <c r="RNA46"/>
      <c r="RNC46" s="110"/>
      <c r="RNE46"/>
      <c r="RNG46" s="110"/>
      <c r="RNI46"/>
      <c r="RNK46" s="110"/>
      <c r="RNM46"/>
      <c r="RNO46" s="110"/>
      <c r="RNQ46"/>
      <c r="RNS46" s="110"/>
      <c r="RNU46"/>
      <c r="RNW46" s="110"/>
      <c r="RNY46"/>
      <c r="ROA46" s="110"/>
      <c r="ROC46"/>
      <c r="ROE46" s="110"/>
      <c r="ROG46"/>
      <c r="ROI46" s="110"/>
      <c r="ROK46"/>
      <c r="ROM46" s="110"/>
      <c r="ROO46"/>
      <c r="ROQ46" s="110"/>
      <c r="ROS46"/>
      <c r="ROU46" s="110"/>
      <c r="ROW46"/>
      <c r="ROY46" s="110"/>
      <c r="RPA46"/>
      <c r="RPC46" s="110"/>
      <c r="RPE46"/>
      <c r="RPG46" s="110"/>
      <c r="RPI46"/>
      <c r="RPK46" s="110"/>
      <c r="RPM46"/>
      <c r="RPO46" s="110"/>
      <c r="RPQ46"/>
      <c r="RPS46" s="110"/>
      <c r="RPU46"/>
      <c r="RPW46" s="110"/>
      <c r="RPY46"/>
      <c r="RQA46" s="110"/>
      <c r="RQC46"/>
      <c r="RQE46" s="110"/>
      <c r="RQG46"/>
      <c r="RQI46" s="110"/>
      <c r="RQK46"/>
      <c r="RQM46" s="110"/>
      <c r="RQO46"/>
      <c r="RQQ46" s="110"/>
      <c r="RQS46"/>
      <c r="RQU46" s="110"/>
      <c r="RQW46"/>
      <c r="RQY46" s="110"/>
      <c r="RRA46"/>
      <c r="RRC46" s="110"/>
      <c r="RRE46"/>
      <c r="RRG46" s="110"/>
      <c r="RRI46"/>
      <c r="RRK46" s="110"/>
      <c r="RRM46"/>
      <c r="RRO46" s="110"/>
      <c r="RRQ46"/>
      <c r="RRS46" s="110"/>
      <c r="RRU46"/>
      <c r="RRW46" s="110"/>
      <c r="RRY46"/>
      <c r="RSA46" s="110"/>
      <c r="RSC46"/>
      <c r="RSE46" s="110"/>
      <c r="RSG46"/>
      <c r="RSI46" s="110"/>
      <c r="RSK46"/>
      <c r="RSM46" s="110"/>
      <c r="RSO46"/>
      <c r="RSQ46" s="110"/>
      <c r="RSS46"/>
      <c r="RSU46" s="110"/>
      <c r="RSW46"/>
      <c r="RSY46" s="110"/>
      <c r="RTA46"/>
      <c r="RTC46" s="110"/>
      <c r="RTE46"/>
      <c r="RTG46" s="110"/>
      <c r="RTI46"/>
      <c r="RTK46" s="110"/>
      <c r="RTM46"/>
      <c r="RTO46" s="110"/>
      <c r="RTQ46"/>
      <c r="RTS46" s="110"/>
      <c r="RTU46"/>
      <c r="RTW46" s="110"/>
      <c r="RTY46"/>
      <c r="RUA46" s="110"/>
      <c r="RUC46"/>
      <c r="RUE46" s="110"/>
      <c r="RUG46"/>
      <c r="RUI46" s="110"/>
      <c r="RUK46"/>
      <c r="RUM46" s="110"/>
      <c r="RUO46"/>
      <c r="RUQ46" s="110"/>
      <c r="RUS46"/>
      <c r="RUU46" s="110"/>
      <c r="RUW46"/>
      <c r="RUY46" s="110"/>
      <c r="RVA46"/>
      <c r="RVC46" s="110"/>
      <c r="RVE46"/>
      <c r="RVG46" s="110"/>
      <c r="RVI46"/>
      <c r="RVK46" s="110"/>
      <c r="RVM46"/>
      <c r="RVO46" s="110"/>
      <c r="RVQ46"/>
      <c r="RVS46" s="110"/>
      <c r="RVU46"/>
      <c r="RVW46" s="110"/>
      <c r="RVY46"/>
      <c r="RWA46" s="110"/>
      <c r="RWC46"/>
      <c r="RWE46" s="110"/>
      <c r="RWG46"/>
      <c r="RWI46" s="110"/>
      <c r="RWK46"/>
      <c r="RWM46" s="110"/>
      <c r="RWO46"/>
      <c r="RWQ46" s="110"/>
      <c r="RWS46"/>
      <c r="RWU46" s="110"/>
      <c r="RWW46"/>
      <c r="RWY46" s="110"/>
      <c r="RXA46"/>
      <c r="RXC46" s="110"/>
      <c r="RXE46"/>
      <c r="RXG46" s="110"/>
      <c r="RXI46"/>
      <c r="RXK46" s="110"/>
      <c r="RXM46"/>
      <c r="RXO46" s="110"/>
      <c r="RXQ46"/>
      <c r="RXS46" s="110"/>
      <c r="RXU46"/>
      <c r="RXW46" s="110"/>
      <c r="RXY46"/>
      <c r="RYA46" s="110"/>
      <c r="RYC46"/>
      <c r="RYE46" s="110"/>
      <c r="RYG46"/>
      <c r="RYI46" s="110"/>
      <c r="RYK46"/>
      <c r="RYM46" s="110"/>
      <c r="RYO46"/>
      <c r="RYQ46" s="110"/>
      <c r="RYS46"/>
      <c r="RYU46" s="110"/>
      <c r="RYW46"/>
      <c r="RYY46" s="110"/>
      <c r="RZA46"/>
      <c r="RZC46" s="110"/>
      <c r="RZE46"/>
      <c r="RZG46" s="110"/>
      <c r="RZI46"/>
      <c r="RZK46" s="110"/>
      <c r="RZM46"/>
      <c r="RZO46" s="110"/>
      <c r="RZQ46"/>
      <c r="RZS46" s="110"/>
      <c r="RZU46"/>
      <c r="RZW46" s="110"/>
      <c r="RZY46"/>
      <c r="SAA46" s="110"/>
      <c r="SAC46"/>
      <c r="SAE46" s="110"/>
      <c r="SAG46"/>
      <c r="SAI46" s="110"/>
      <c r="SAK46"/>
      <c r="SAM46" s="110"/>
      <c r="SAO46"/>
      <c r="SAQ46" s="110"/>
      <c r="SAS46"/>
      <c r="SAU46" s="110"/>
      <c r="SAW46"/>
      <c r="SAY46" s="110"/>
      <c r="SBA46"/>
      <c r="SBC46" s="110"/>
      <c r="SBE46"/>
      <c r="SBG46" s="110"/>
      <c r="SBI46"/>
      <c r="SBK46" s="110"/>
      <c r="SBM46"/>
      <c r="SBO46" s="110"/>
      <c r="SBQ46"/>
      <c r="SBS46" s="110"/>
      <c r="SBU46"/>
      <c r="SBW46" s="110"/>
      <c r="SBY46"/>
      <c r="SCA46" s="110"/>
      <c r="SCC46"/>
      <c r="SCE46" s="110"/>
      <c r="SCG46"/>
      <c r="SCI46" s="110"/>
      <c r="SCK46"/>
      <c r="SCM46" s="110"/>
      <c r="SCO46"/>
      <c r="SCQ46" s="110"/>
      <c r="SCS46"/>
      <c r="SCU46" s="110"/>
      <c r="SCW46"/>
      <c r="SCY46" s="110"/>
      <c r="SDA46"/>
      <c r="SDC46" s="110"/>
      <c r="SDE46"/>
      <c r="SDG46" s="110"/>
      <c r="SDI46"/>
      <c r="SDK46" s="110"/>
      <c r="SDM46"/>
      <c r="SDO46" s="110"/>
      <c r="SDQ46"/>
      <c r="SDS46" s="110"/>
      <c r="SDU46"/>
      <c r="SDW46" s="110"/>
      <c r="SDY46"/>
      <c r="SEA46" s="110"/>
      <c r="SEC46"/>
      <c r="SEE46" s="110"/>
      <c r="SEG46"/>
      <c r="SEI46" s="110"/>
      <c r="SEK46"/>
      <c r="SEM46" s="110"/>
      <c r="SEO46"/>
      <c r="SEQ46" s="110"/>
      <c r="SES46"/>
      <c r="SEU46" s="110"/>
      <c r="SEW46"/>
      <c r="SEY46" s="110"/>
      <c r="SFA46"/>
      <c r="SFC46" s="110"/>
      <c r="SFE46"/>
      <c r="SFG46" s="110"/>
      <c r="SFI46"/>
      <c r="SFK46" s="110"/>
      <c r="SFM46"/>
      <c r="SFO46" s="110"/>
      <c r="SFQ46"/>
      <c r="SFS46" s="110"/>
      <c r="SFU46"/>
      <c r="SFW46" s="110"/>
      <c r="SFY46"/>
      <c r="SGA46" s="110"/>
      <c r="SGC46"/>
      <c r="SGE46" s="110"/>
      <c r="SGG46"/>
      <c r="SGI46" s="110"/>
      <c r="SGK46"/>
      <c r="SGM46" s="110"/>
      <c r="SGO46"/>
      <c r="SGQ46" s="110"/>
      <c r="SGS46"/>
      <c r="SGU46" s="110"/>
      <c r="SGW46"/>
      <c r="SGY46" s="110"/>
      <c r="SHA46"/>
      <c r="SHC46" s="110"/>
      <c r="SHE46"/>
      <c r="SHG46" s="110"/>
      <c r="SHI46"/>
      <c r="SHK46" s="110"/>
      <c r="SHM46"/>
      <c r="SHO46" s="110"/>
      <c r="SHQ46"/>
      <c r="SHS46" s="110"/>
      <c r="SHU46"/>
      <c r="SHW46" s="110"/>
      <c r="SHY46"/>
      <c r="SIA46" s="110"/>
      <c r="SIC46"/>
      <c r="SIE46" s="110"/>
      <c r="SIG46"/>
      <c r="SII46" s="110"/>
      <c r="SIK46"/>
      <c r="SIM46" s="110"/>
      <c r="SIO46"/>
      <c r="SIQ46" s="110"/>
      <c r="SIS46"/>
      <c r="SIU46" s="110"/>
      <c r="SIW46"/>
      <c r="SIY46" s="110"/>
      <c r="SJA46"/>
      <c r="SJC46" s="110"/>
      <c r="SJE46"/>
      <c r="SJG46" s="110"/>
      <c r="SJI46"/>
      <c r="SJK46" s="110"/>
      <c r="SJM46"/>
      <c r="SJO46" s="110"/>
      <c r="SJQ46"/>
      <c r="SJS46" s="110"/>
      <c r="SJU46"/>
      <c r="SJW46" s="110"/>
      <c r="SJY46"/>
      <c r="SKA46" s="110"/>
      <c r="SKC46"/>
      <c r="SKE46" s="110"/>
      <c r="SKG46"/>
      <c r="SKI46" s="110"/>
      <c r="SKK46"/>
      <c r="SKM46" s="110"/>
      <c r="SKO46"/>
      <c r="SKQ46" s="110"/>
      <c r="SKS46"/>
      <c r="SKU46" s="110"/>
      <c r="SKW46"/>
      <c r="SKY46" s="110"/>
      <c r="SLA46"/>
      <c r="SLC46" s="110"/>
      <c r="SLE46"/>
      <c r="SLG46" s="110"/>
      <c r="SLI46"/>
      <c r="SLK46" s="110"/>
      <c r="SLM46"/>
      <c r="SLO46" s="110"/>
      <c r="SLQ46"/>
      <c r="SLS46" s="110"/>
      <c r="SLU46"/>
      <c r="SLW46" s="110"/>
      <c r="SLY46"/>
      <c r="SMA46" s="110"/>
      <c r="SMC46"/>
      <c r="SME46" s="110"/>
      <c r="SMG46"/>
      <c r="SMI46" s="110"/>
      <c r="SMK46"/>
      <c r="SMM46" s="110"/>
      <c r="SMO46"/>
      <c r="SMQ46" s="110"/>
      <c r="SMS46"/>
      <c r="SMU46" s="110"/>
      <c r="SMW46"/>
      <c r="SMY46" s="110"/>
      <c r="SNA46"/>
      <c r="SNC46" s="110"/>
      <c r="SNE46"/>
      <c r="SNG46" s="110"/>
      <c r="SNI46"/>
      <c r="SNK46" s="110"/>
      <c r="SNM46"/>
      <c r="SNO46" s="110"/>
      <c r="SNQ46"/>
      <c r="SNS46" s="110"/>
      <c r="SNU46"/>
      <c r="SNW46" s="110"/>
      <c r="SNY46"/>
      <c r="SOA46" s="110"/>
      <c r="SOC46"/>
      <c r="SOE46" s="110"/>
      <c r="SOG46"/>
      <c r="SOI46" s="110"/>
      <c r="SOK46"/>
      <c r="SOM46" s="110"/>
      <c r="SOO46"/>
      <c r="SOQ46" s="110"/>
      <c r="SOS46"/>
      <c r="SOU46" s="110"/>
      <c r="SOW46"/>
      <c r="SOY46" s="110"/>
      <c r="SPA46"/>
      <c r="SPC46" s="110"/>
      <c r="SPE46"/>
      <c r="SPG46" s="110"/>
      <c r="SPI46"/>
      <c r="SPK46" s="110"/>
      <c r="SPM46"/>
      <c r="SPO46" s="110"/>
      <c r="SPQ46"/>
      <c r="SPS46" s="110"/>
      <c r="SPU46"/>
      <c r="SPW46" s="110"/>
      <c r="SPY46"/>
      <c r="SQA46" s="110"/>
      <c r="SQC46"/>
      <c r="SQE46" s="110"/>
      <c r="SQG46"/>
      <c r="SQI46" s="110"/>
      <c r="SQK46"/>
      <c r="SQM46" s="110"/>
      <c r="SQO46"/>
      <c r="SQQ46" s="110"/>
      <c r="SQS46"/>
      <c r="SQU46" s="110"/>
      <c r="SQW46"/>
      <c r="SQY46" s="110"/>
      <c r="SRA46"/>
      <c r="SRC46" s="110"/>
      <c r="SRE46"/>
      <c r="SRG46" s="110"/>
      <c r="SRI46"/>
      <c r="SRK46" s="110"/>
      <c r="SRM46"/>
      <c r="SRO46" s="110"/>
      <c r="SRQ46"/>
      <c r="SRS46" s="110"/>
      <c r="SRU46"/>
      <c r="SRW46" s="110"/>
      <c r="SRY46"/>
      <c r="SSA46" s="110"/>
      <c r="SSC46"/>
      <c r="SSE46" s="110"/>
      <c r="SSG46"/>
      <c r="SSI46" s="110"/>
      <c r="SSK46"/>
      <c r="SSM46" s="110"/>
      <c r="SSO46"/>
      <c r="SSQ46" s="110"/>
      <c r="SSS46"/>
      <c r="SSU46" s="110"/>
      <c r="SSW46"/>
      <c r="SSY46" s="110"/>
      <c r="STA46"/>
      <c r="STC46" s="110"/>
      <c r="STE46"/>
      <c r="STG46" s="110"/>
      <c r="STI46"/>
      <c r="STK46" s="110"/>
      <c r="STM46"/>
      <c r="STO46" s="110"/>
      <c r="STQ46"/>
      <c r="STS46" s="110"/>
      <c r="STU46"/>
      <c r="STW46" s="110"/>
      <c r="STY46"/>
      <c r="SUA46" s="110"/>
      <c r="SUC46"/>
      <c r="SUE46" s="110"/>
      <c r="SUG46"/>
      <c r="SUI46" s="110"/>
      <c r="SUK46"/>
      <c r="SUM46" s="110"/>
      <c r="SUO46"/>
      <c r="SUQ46" s="110"/>
      <c r="SUS46"/>
      <c r="SUU46" s="110"/>
      <c r="SUW46"/>
      <c r="SUY46" s="110"/>
      <c r="SVA46"/>
      <c r="SVC46" s="110"/>
      <c r="SVE46"/>
      <c r="SVG46" s="110"/>
      <c r="SVI46"/>
      <c r="SVK46" s="110"/>
      <c r="SVM46"/>
      <c r="SVO46" s="110"/>
      <c r="SVQ46"/>
      <c r="SVS46" s="110"/>
      <c r="SVU46"/>
      <c r="SVW46" s="110"/>
      <c r="SVY46"/>
      <c r="SWA46" s="110"/>
      <c r="SWC46"/>
      <c r="SWE46" s="110"/>
      <c r="SWG46"/>
      <c r="SWI46" s="110"/>
      <c r="SWK46"/>
      <c r="SWM46" s="110"/>
      <c r="SWO46"/>
      <c r="SWQ46" s="110"/>
      <c r="SWS46"/>
      <c r="SWU46" s="110"/>
      <c r="SWW46"/>
      <c r="SWY46" s="110"/>
      <c r="SXA46"/>
      <c r="SXC46" s="110"/>
      <c r="SXE46"/>
      <c r="SXG46" s="110"/>
      <c r="SXI46"/>
      <c r="SXK46" s="110"/>
      <c r="SXM46"/>
      <c r="SXO46" s="110"/>
      <c r="SXQ46"/>
      <c r="SXS46" s="110"/>
      <c r="SXU46"/>
      <c r="SXW46" s="110"/>
      <c r="SXY46"/>
      <c r="SYA46" s="110"/>
      <c r="SYC46"/>
      <c r="SYE46" s="110"/>
      <c r="SYG46"/>
      <c r="SYI46" s="110"/>
      <c r="SYK46"/>
      <c r="SYM46" s="110"/>
      <c r="SYO46"/>
      <c r="SYQ46" s="110"/>
      <c r="SYS46"/>
      <c r="SYU46" s="110"/>
      <c r="SYW46"/>
      <c r="SYY46" s="110"/>
      <c r="SZA46"/>
      <c r="SZC46" s="110"/>
      <c r="SZE46"/>
      <c r="SZG46" s="110"/>
      <c r="SZI46"/>
      <c r="SZK46" s="110"/>
      <c r="SZM46"/>
      <c r="SZO46" s="110"/>
      <c r="SZQ46"/>
      <c r="SZS46" s="110"/>
      <c r="SZU46"/>
      <c r="SZW46" s="110"/>
      <c r="SZY46"/>
      <c r="TAA46" s="110"/>
      <c r="TAC46"/>
      <c r="TAE46" s="110"/>
      <c r="TAG46"/>
      <c r="TAI46" s="110"/>
      <c r="TAK46"/>
      <c r="TAM46" s="110"/>
      <c r="TAO46"/>
      <c r="TAQ46" s="110"/>
      <c r="TAS46"/>
      <c r="TAU46" s="110"/>
      <c r="TAW46"/>
      <c r="TAY46" s="110"/>
      <c r="TBA46"/>
      <c r="TBC46" s="110"/>
      <c r="TBE46"/>
      <c r="TBG46" s="110"/>
      <c r="TBI46"/>
      <c r="TBK46" s="110"/>
      <c r="TBM46"/>
      <c r="TBO46" s="110"/>
      <c r="TBQ46"/>
      <c r="TBS46" s="110"/>
      <c r="TBU46"/>
      <c r="TBW46" s="110"/>
      <c r="TBY46"/>
      <c r="TCA46" s="110"/>
      <c r="TCC46"/>
      <c r="TCE46" s="110"/>
      <c r="TCG46"/>
      <c r="TCI46" s="110"/>
      <c r="TCK46"/>
      <c r="TCM46" s="110"/>
      <c r="TCO46"/>
      <c r="TCQ46" s="110"/>
      <c r="TCS46"/>
      <c r="TCU46" s="110"/>
      <c r="TCW46"/>
      <c r="TCY46" s="110"/>
      <c r="TDA46"/>
      <c r="TDC46" s="110"/>
      <c r="TDE46"/>
      <c r="TDG46" s="110"/>
      <c r="TDI46"/>
      <c r="TDK46" s="110"/>
      <c r="TDM46"/>
      <c r="TDO46" s="110"/>
      <c r="TDQ46"/>
      <c r="TDS46" s="110"/>
      <c r="TDU46"/>
      <c r="TDW46" s="110"/>
      <c r="TDY46"/>
      <c r="TEA46" s="110"/>
      <c r="TEC46"/>
      <c r="TEE46" s="110"/>
      <c r="TEG46"/>
      <c r="TEI46" s="110"/>
      <c r="TEK46"/>
      <c r="TEM46" s="110"/>
      <c r="TEO46"/>
      <c r="TEQ46" s="110"/>
      <c r="TES46"/>
      <c r="TEU46" s="110"/>
      <c r="TEW46"/>
      <c r="TEY46" s="110"/>
      <c r="TFA46"/>
      <c r="TFC46" s="110"/>
      <c r="TFE46"/>
      <c r="TFG46" s="110"/>
      <c r="TFI46"/>
      <c r="TFK46" s="110"/>
      <c r="TFM46"/>
      <c r="TFO46" s="110"/>
      <c r="TFQ46"/>
      <c r="TFS46" s="110"/>
      <c r="TFU46"/>
      <c r="TFW46" s="110"/>
      <c r="TFY46"/>
      <c r="TGA46" s="110"/>
      <c r="TGC46"/>
      <c r="TGE46" s="110"/>
      <c r="TGG46"/>
      <c r="TGI46" s="110"/>
      <c r="TGK46"/>
      <c r="TGM46" s="110"/>
      <c r="TGO46"/>
      <c r="TGQ46" s="110"/>
      <c r="TGS46"/>
      <c r="TGU46" s="110"/>
      <c r="TGW46"/>
      <c r="TGY46" s="110"/>
      <c r="THA46"/>
      <c r="THC46" s="110"/>
      <c r="THE46"/>
      <c r="THG46" s="110"/>
      <c r="THI46"/>
      <c r="THK46" s="110"/>
      <c r="THM46"/>
      <c r="THO46" s="110"/>
      <c r="THQ46"/>
      <c r="THS46" s="110"/>
      <c r="THU46"/>
      <c r="THW46" s="110"/>
      <c r="THY46"/>
      <c r="TIA46" s="110"/>
      <c r="TIC46"/>
      <c r="TIE46" s="110"/>
      <c r="TIG46"/>
      <c r="TII46" s="110"/>
      <c r="TIK46"/>
      <c r="TIM46" s="110"/>
      <c r="TIO46"/>
      <c r="TIQ46" s="110"/>
      <c r="TIS46"/>
      <c r="TIU46" s="110"/>
      <c r="TIW46"/>
      <c r="TIY46" s="110"/>
      <c r="TJA46"/>
      <c r="TJC46" s="110"/>
      <c r="TJE46"/>
      <c r="TJG46" s="110"/>
      <c r="TJI46"/>
      <c r="TJK46" s="110"/>
      <c r="TJM46"/>
      <c r="TJO46" s="110"/>
      <c r="TJQ46"/>
      <c r="TJS46" s="110"/>
      <c r="TJU46"/>
      <c r="TJW46" s="110"/>
      <c r="TJY46"/>
      <c r="TKA46" s="110"/>
      <c r="TKC46"/>
      <c r="TKE46" s="110"/>
      <c r="TKG46"/>
      <c r="TKI46" s="110"/>
      <c r="TKK46"/>
      <c r="TKM46" s="110"/>
      <c r="TKO46"/>
      <c r="TKQ46" s="110"/>
      <c r="TKS46"/>
      <c r="TKU46" s="110"/>
      <c r="TKW46"/>
      <c r="TKY46" s="110"/>
      <c r="TLA46"/>
      <c r="TLC46" s="110"/>
      <c r="TLE46"/>
      <c r="TLG46" s="110"/>
      <c r="TLI46"/>
      <c r="TLK46" s="110"/>
      <c r="TLM46"/>
      <c r="TLO46" s="110"/>
      <c r="TLQ46"/>
      <c r="TLS46" s="110"/>
      <c r="TLU46"/>
      <c r="TLW46" s="110"/>
      <c r="TLY46"/>
      <c r="TMA46" s="110"/>
      <c r="TMC46"/>
      <c r="TME46" s="110"/>
      <c r="TMG46"/>
      <c r="TMI46" s="110"/>
      <c r="TMK46"/>
      <c r="TMM46" s="110"/>
      <c r="TMO46"/>
      <c r="TMQ46" s="110"/>
      <c r="TMS46"/>
      <c r="TMU46" s="110"/>
      <c r="TMW46"/>
      <c r="TMY46" s="110"/>
      <c r="TNA46"/>
      <c r="TNC46" s="110"/>
      <c r="TNE46"/>
      <c r="TNG46" s="110"/>
      <c r="TNI46"/>
      <c r="TNK46" s="110"/>
      <c r="TNM46"/>
      <c r="TNO46" s="110"/>
      <c r="TNQ46"/>
      <c r="TNS46" s="110"/>
      <c r="TNU46"/>
      <c r="TNW46" s="110"/>
      <c r="TNY46"/>
      <c r="TOA46" s="110"/>
      <c r="TOC46"/>
      <c r="TOE46" s="110"/>
      <c r="TOG46"/>
      <c r="TOI46" s="110"/>
      <c r="TOK46"/>
      <c r="TOM46" s="110"/>
      <c r="TOO46"/>
      <c r="TOQ46" s="110"/>
      <c r="TOS46"/>
      <c r="TOU46" s="110"/>
      <c r="TOW46"/>
      <c r="TOY46" s="110"/>
      <c r="TPA46"/>
      <c r="TPC46" s="110"/>
      <c r="TPE46"/>
      <c r="TPG46" s="110"/>
      <c r="TPI46"/>
      <c r="TPK46" s="110"/>
      <c r="TPM46"/>
      <c r="TPO46" s="110"/>
      <c r="TPQ46"/>
      <c r="TPS46" s="110"/>
      <c r="TPU46"/>
      <c r="TPW46" s="110"/>
      <c r="TPY46"/>
      <c r="TQA46" s="110"/>
      <c r="TQC46"/>
      <c r="TQE46" s="110"/>
      <c r="TQG46"/>
      <c r="TQI46" s="110"/>
      <c r="TQK46"/>
      <c r="TQM46" s="110"/>
      <c r="TQO46"/>
      <c r="TQQ46" s="110"/>
      <c r="TQS46"/>
      <c r="TQU46" s="110"/>
      <c r="TQW46"/>
      <c r="TQY46" s="110"/>
      <c r="TRA46"/>
      <c r="TRC46" s="110"/>
      <c r="TRE46"/>
      <c r="TRG46" s="110"/>
      <c r="TRI46"/>
      <c r="TRK46" s="110"/>
      <c r="TRM46"/>
      <c r="TRO46" s="110"/>
      <c r="TRQ46"/>
      <c r="TRS46" s="110"/>
      <c r="TRU46"/>
      <c r="TRW46" s="110"/>
      <c r="TRY46"/>
      <c r="TSA46" s="110"/>
      <c r="TSC46"/>
      <c r="TSE46" s="110"/>
      <c r="TSG46"/>
      <c r="TSI46" s="110"/>
      <c r="TSK46"/>
      <c r="TSM46" s="110"/>
      <c r="TSO46"/>
      <c r="TSQ46" s="110"/>
      <c r="TSS46"/>
      <c r="TSU46" s="110"/>
      <c r="TSW46"/>
      <c r="TSY46" s="110"/>
      <c r="TTA46"/>
      <c r="TTC46" s="110"/>
      <c r="TTE46"/>
      <c r="TTG46" s="110"/>
      <c r="TTI46"/>
      <c r="TTK46" s="110"/>
      <c r="TTM46"/>
      <c r="TTO46" s="110"/>
      <c r="TTQ46"/>
      <c r="TTS46" s="110"/>
      <c r="TTU46"/>
      <c r="TTW46" s="110"/>
      <c r="TTY46"/>
      <c r="TUA46" s="110"/>
      <c r="TUC46"/>
      <c r="TUE46" s="110"/>
      <c r="TUG46"/>
      <c r="TUI46" s="110"/>
      <c r="TUK46"/>
      <c r="TUM46" s="110"/>
      <c r="TUO46"/>
      <c r="TUQ46" s="110"/>
      <c r="TUS46"/>
      <c r="TUU46" s="110"/>
      <c r="TUW46"/>
      <c r="TUY46" s="110"/>
      <c r="TVA46"/>
      <c r="TVC46" s="110"/>
      <c r="TVE46"/>
      <c r="TVG46" s="110"/>
      <c r="TVI46"/>
      <c r="TVK46" s="110"/>
      <c r="TVM46"/>
      <c r="TVO46" s="110"/>
      <c r="TVQ46"/>
      <c r="TVS46" s="110"/>
      <c r="TVU46"/>
      <c r="TVW46" s="110"/>
      <c r="TVY46"/>
      <c r="TWA46" s="110"/>
      <c r="TWC46"/>
      <c r="TWE46" s="110"/>
      <c r="TWG46"/>
      <c r="TWI46" s="110"/>
      <c r="TWK46"/>
      <c r="TWM46" s="110"/>
      <c r="TWO46"/>
      <c r="TWQ46" s="110"/>
      <c r="TWS46"/>
      <c r="TWU46" s="110"/>
      <c r="TWW46"/>
      <c r="TWY46" s="110"/>
      <c r="TXA46"/>
      <c r="TXC46" s="110"/>
      <c r="TXE46"/>
      <c r="TXG46" s="110"/>
      <c r="TXI46"/>
      <c r="TXK46" s="110"/>
      <c r="TXM46"/>
      <c r="TXO46" s="110"/>
      <c r="TXQ46"/>
      <c r="TXS46" s="110"/>
      <c r="TXU46"/>
      <c r="TXW46" s="110"/>
      <c r="TXY46"/>
      <c r="TYA46" s="110"/>
      <c r="TYC46"/>
      <c r="TYE46" s="110"/>
      <c r="TYG46"/>
      <c r="TYI46" s="110"/>
      <c r="TYK46"/>
      <c r="TYM46" s="110"/>
      <c r="TYO46"/>
      <c r="TYQ46" s="110"/>
      <c r="TYS46"/>
      <c r="TYU46" s="110"/>
      <c r="TYW46"/>
      <c r="TYY46" s="110"/>
      <c r="TZA46"/>
      <c r="TZC46" s="110"/>
      <c r="TZE46"/>
      <c r="TZG46" s="110"/>
      <c r="TZI46"/>
      <c r="TZK46" s="110"/>
      <c r="TZM46"/>
      <c r="TZO46" s="110"/>
      <c r="TZQ46"/>
      <c r="TZS46" s="110"/>
      <c r="TZU46"/>
      <c r="TZW46" s="110"/>
      <c r="TZY46"/>
      <c r="UAA46" s="110"/>
      <c r="UAC46"/>
      <c r="UAE46" s="110"/>
      <c r="UAG46"/>
      <c r="UAI46" s="110"/>
      <c r="UAK46"/>
      <c r="UAM46" s="110"/>
      <c r="UAO46"/>
      <c r="UAQ46" s="110"/>
      <c r="UAS46"/>
      <c r="UAU46" s="110"/>
      <c r="UAW46"/>
      <c r="UAY46" s="110"/>
      <c r="UBA46"/>
      <c r="UBC46" s="110"/>
      <c r="UBE46"/>
      <c r="UBG46" s="110"/>
      <c r="UBI46"/>
      <c r="UBK46" s="110"/>
      <c r="UBM46"/>
      <c r="UBO46" s="110"/>
      <c r="UBQ46"/>
      <c r="UBS46" s="110"/>
      <c r="UBU46"/>
      <c r="UBW46" s="110"/>
      <c r="UBY46"/>
      <c r="UCA46" s="110"/>
      <c r="UCC46"/>
      <c r="UCE46" s="110"/>
      <c r="UCG46"/>
      <c r="UCI46" s="110"/>
      <c r="UCK46"/>
      <c r="UCM46" s="110"/>
      <c r="UCO46"/>
      <c r="UCQ46" s="110"/>
      <c r="UCS46"/>
      <c r="UCU46" s="110"/>
      <c r="UCW46"/>
      <c r="UCY46" s="110"/>
      <c r="UDA46"/>
      <c r="UDC46" s="110"/>
      <c r="UDE46"/>
      <c r="UDG46" s="110"/>
      <c r="UDI46"/>
      <c r="UDK46" s="110"/>
      <c r="UDM46"/>
      <c r="UDO46" s="110"/>
      <c r="UDQ46"/>
      <c r="UDS46" s="110"/>
      <c r="UDU46"/>
      <c r="UDW46" s="110"/>
      <c r="UDY46"/>
      <c r="UEA46" s="110"/>
      <c r="UEC46"/>
      <c r="UEE46" s="110"/>
      <c r="UEG46"/>
      <c r="UEI46" s="110"/>
      <c r="UEK46"/>
      <c r="UEM46" s="110"/>
      <c r="UEO46"/>
      <c r="UEQ46" s="110"/>
      <c r="UES46"/>
      <c r="UEU46" s="110"/>
      <c r="UEW46"/>
      <c r="UEY46" s="110"/>
      <c r="UFA46"/>
      <c r="UFC46" s="110"/>
      <c r="UFE46"/>
      <c r="UFG46" s="110"/>
      <c r="UFI46"/>
      <c r="UFK46" s="110"/>
      <c r="UFM46"/>
      <c r="UFO46" s="110"/>
      <c r="UFQ46"/>
      <c r="UFS46" s="110"/>
      <c r="UFU46"/>
      <c r="UFW46" s="110"/>
      <c r="UFY46"/>
      <c r="UGA46" s="110"/>
      <c r="UGC46"/>
      <c r="UGE46" s="110"/>
      <c r="UGG46"/>
      <c r="UGI46" s="110"/>
      <c r="UGK46"/>
      <c r="UGM46" s="110"/>
      <c r="UGO46"/>
      <c r="UGQ46" s="110"/>
      <c r="UGS46"/>
      <c r="UGU46" s="110"/>
      <c r="UGW46"/>
      <c r="UGY46" s="110"/>
      <c r="UHA46"/>
      <c r="UHC46" s="110"/>
      <c r="UHE46"/>
      <c r="UHG46" s="110"/>
      <c r="UHI46"/>
      <c r="UHK46" s="110"/>
      <c r="UHM46"/>
      <c r="UHO46" s="110"/>
      <c r="UHQ46"/>
      <c r="UHS46" s="110"/>
      <c r="UHU46"/>
      <c r="UHW46" s="110"/>
      <c r="UHY46"/>
      <c r="UIA46" s="110"/>
      <c r="UIC46"/>
      <c r="UIE46" s="110"/>
      <c r="UIG46"/>
      <c r="UII46" s="110"/>
      <c r="UIK46"/>
      <c r="UIM46" s="110"/>
      <c r="UIO46"/>
      <c r="UIQ46" s="110"/>
      <c r="UIS46"/>
      <c r="UIU46" s="110"/>
      <c r="UIW46"/>
      <c r="UIY46" s="110"/>
      <c r="UJA46"/>
      <c r="UJC46" s="110"/>
      <c r="UJE46"/>
      <c r="UJG46" s="110"/>
      <c r="UJI46"/>
      <c r="UJK46" s="110"/>
      <c r="UJM46"/>
      <c r="UJO46" s="110"/>
      <c r="UJQ46"/>
      <c r="UJS46" s="110"/>
      <c r="UJU46"/>
      <c r="UJW46" s="110"/>
      <c r="UJY46"/>
      <c r="UKA46" s="110"/>
      <c r="UKC46"/>
      <c r="UKE46" s="110"/>
      <c r="UKG46"/>
      <c r="UKI46" s="110"/>
      <c r="UKK46"/>
      <c r="UKM46" s="110"/>
      <c r="UKO46"/>
      <c r="UKQ46" s="110"/>
      <c r="UKS46"/>
      <c r="UKU46" s="110"/>
      <c r="UKW46"/>
      <c r="UKY46" s="110"/>
      <c r="ULA46"/>
      <c r="ULC46" s="110"/>
      <c r="ULE46"/>
      <c r="ULG46" s="110"/>
      <c r="ULI46"/>
      <c r="ULK46" s="110"/>
      <c r="ULM46"/>
      <c r="ULO46" s="110"/>
      <c r="ULQ46"/>
      <c r="ULS46" s="110"/>
      <c r="ULU46"/>
      <c r="ULW46" s="110"/>
      <c r="ULY46"/>
      <c r="UMA46" s="110"/>
      <c r="UMC46"/>
      <c r="UME46" s="110"/>
      <c r="UMG46"/>
      <c r="UMI46" s="110"/>
      <c r="UMK46"/>
      <c r="UMM46" s="110"/>
      <c r="UMO46"/>
      <c r="UMQ46" s="110"/>
      <c r="UMS46"/>
      <c r="UMU46" s="110"/>
      <c r="UMW46"/>
      <c r="UMY46" s="110"/>
      <c r="UNA46"/>
      <c r="UNC46" s="110"/>
      <c r="UNE46"/>
      <c r="UNG46" s="110"/>
      <c r="UNI46"/>
      <c r="UNK46" s="110"/>
      <c r="UNM46"/>
      <c r="UNO46" s="110"/>
      <c r="UNQ46"/>
      <c r="UNS46" s="110"/>
      <c r="UNU46"/>
      <c r="UNW46" s="110"/>
      <c r="UNY46"/>
      <c r="UOA46" s="110"/>
      <c r="UOC46"/>
      <c r="UOE46" s="110"/>
      <c r="UOG46"/>
      <c r="UOI46" s="110"/>
      <c r="UOK46"/>
      <c r="UOM46" s="110"/>
      <c r="UOO46"/>
      <c r="UOQ46" s="110"/>
      <c r="UOS46"/>
      <c r="UOU46" s="110"/>
      <c r="UOW46"/>
      <c r="UOY46" s="110"/>
      <c r="UPA46"/>
      <c r="UPC46" s="110"/>
      <c r="UPE46"/>
      <c r="UPG46" s="110"/>
      <c r="UPI46"/>
      <c r="UPK46" s="110"/>
      <c r="UPM46"/>
      <c r="UPO46" s="110"/>
      <c r="UPQ46"/>
      <c r="UPS46" s="110"/>
      <c r="UPU46"/>
      <c r="UPW46" s="110"/>
      <c r="UPY46"/>
      <c r="UQA46" s="110"/>
      <c r="UQC46"/>
      <c r="UQE46" s="110"/>
      <c r="UQG46"/>
      <c r="UQI46" s="110"/>
      <c r="UQK46"/>
      <c r="UQM46" s="110"/>
      <c r="UQO46"/>
      <c r="UQQ46" s="110"/>
      <c r="UQS46"/>
      <c r="UQU46" s="110"/>
      <c r="UQW46"/>
      <c r="UQY46" s="110"/>
      <c r="URA46"/>
      <c r="URC46" s="110"/>
      <c r="URE46"/>
      <c r="URG46" s="110"/>
      <c r="URI46"/>
      <c r="URK46" s="110"/>
      <c r="URM46"/>
      <c r="URO46" s="110"/>
      <c r="URQ46"/>
      <c r="URS46" s="110"/>
      <c r="URU46"/>
      <c r="URW46" s="110"/>
      <c r="URY46"/>
      <c r="USA46" s="110"/>
      <c r="USC46"/>
      <c r="USE46" s="110"/>
      <c r="USG46"/>
      <c r="USI46" s="110"/>
      <c r="USK46"/>
      <c r="USM46" s="110"/>
      <c r="USO46"/>
      <c r="USQ46" s="110"/>
      <c r="USS46"/>
      <c r="USU46" s="110"/>
      <c r="USW46"/>
      <c r="USY46" s="110"/>
      <c r="UTA46"/>
      <c r="UTC46" s="110"/>
      <c r="UTE46"/>
      <c r="UTG46" s="110"/>
      <c r="UTI46"/>
      <c r="UTK46" s="110"/>
      <c r="UTM46"/>
      <c r="UTO46" s="110"/>
      <c r="UTQ46"/>
      <c r="UTS46" s="110"/>
      <c r="UTU46"/>
      <c r="UTW46" s="110"/>
      <c r="UTY46"/>
      <c r="UUA46" s="110"/>
      <c r="UUC46"/>
      <c r="UUE46" s="110"/>
      <c r="UUG46"/>
      <c r="UUI46" s="110"/>
      <c r="UUK46"/>
      <c r="UUM46" s="110"/>
      <c r="UUO46"/>
      <c r="UUQ46" s="110"/>
      <c r="UUS46"/>
      <c r="UUU46" s="110"/>
      <c r="UUW46"/>
      <c r="UUY46" s="110"/>
      <c r="UVA46"/>
      <c r="UVC46" s="110"/>
      <c r="UVE46"/>
      <c r="UVG46" s="110"/>
      <c r="UVI46"/>
      <c r="UVK46" s="110"/>
      <c r="UVM46"/>
      <c r="UVO46" s="110"/>
      <c r="UVQ46"/>
      <c r="UVS46" s="110"/>
      <c r="UVU46"/>
      <c r="UVW46" s="110"/>
      <c r="UVY46"/>
      <c r="UWA46" s="110"/>
      <c r="UWC46"/>
      <c r="UWE46" s="110"/>
      <c r="UWG46"/>
      <c r="UWI46" s="110"/>
      <c r="UWK46"/>
      <c r="UWM46" s="110"/>
      <c r="UWO46"/>
      <c r="UWQ46" s="110"/>
      <c r="UWS46"/>
      <c r="UWU46" s="110"/>
      <c r="UWW46"/>
      <c r="UWY46" s="110"/>
      <c r="UXA46"/>
      <c r="UXC46" s="110"/>
      <c r="UXE46"/>
      <c r="UXG46" s="110"/>
      <c r="UXI46"/>
      <c r="UXK46" s="110"/>
      <c r="UXM46"/>
      <c r="UXO46" s="110"/>
      <c r="UXQ46"/>
      <c r="UXS46" s="110"/>
      <c r="UXU46"/>
      <c r="UXW46" s="110"/>
      <c r="UXY46"/>
      <c r="UYA46" s="110"/>
      <c r="UYC46"/>
      <c r="UYE46" s="110"/>
      <c r="UYG46"/>
      <c r="UYI46" s="110"/>
      <c r="UYK46"/>
      <c r="UYM46" s="110"/>
      <c r="UYO46"/>
      <c r="UYQ46" s="110"/>
      <c r="UYS46"/>
      <c r="UYU46" s="110"/>
      <c r="UYW46"/>
      <c r="UYY46" s="110"/>
      <c r="UZA46"/>
      <c r="UZC46" s="110"/>
      <c r="UZE46"/>
      <c r="UZG46" s="110"/>
      <c r="UZI46"/>
      <c r="UZK46" s="110"/>
      <c r="UZM46"/>
      <c r="UZO46" s="110"/>
      <c r="UZQ46"/>
      <c r="UZS46" s="110"/>
      <c r="UZU46"/>
      <c r="UZW46" s="110"/>
      <c r="UZY46"/>
      <c r="VAA46" s="110"/>
      <c r="VAC46"/>
      <c r="VAE46" s="110"/>
      <c r="VAG46"/>
      <c r="VAI46" s="110"/>
      <c r="VAK46"/>
      <c r="VAM46" s="110"/>
      <c r="VAO46"/>
      <c r="VAQ46" s="110"/>
      <c r="VAS46"/>
      <c r="VAU46" s="110"/>
      <c r="VAW46"/>
      <c r="VAY46" s="110"/>
      <c r="VBA46"/>
      <c r="VBC46" s="110"/>
      <c r="VBE46"/>
      <c r="VBG46" s="110"/>
      <c r="VBI46"/>
      <c r="VBK46" s="110"/>
      <c r="VBM46"/>
      <c r="VBO46" s="110"/>
      <c r="VBQ46"/>
      <c r="VBS46" s="110"/>
      <c r="VBU46"/>
      <c r="VBW46" s="110"/>
      <c r="VBY46"/>
      <c r="VCA46" s="110"/>
      <c r="VCC46"/>
      <c r="VCE46" s="110"/>
      <c r="VCG46"/>
      <c r="VCI46" s="110"/>
      <c r="VCK46"/>
      <c r="VCM46" s="110"/>
      <c r="VCO46"/>
      <c r="VCQ46" s="110"/>
      <c r="VCS46"/>
      <c r="VCU46" s="110"/>
      <c r="VCW46"/>
      <c r="VCY46" s="110"/>
      <c r="VDA46"/>
      <c r="VDC46" s="110"/>
      <c r="VDE46"/>
      <c r="VDG46" s="110"/>
      <c r="VDI46"/>
      <c r="VDK46" s="110"/>
      <c r="VDM46"/>
      <c r="VDO46" s="110"/>
      <c r="VDQ46"/>
      <c r="VDS46" s="110"/>
      <c r="VDU46"/>
      <c r="VDW46" s="110"/>
      <c r="VDY46"/>
      <c r="VEA46" s="110"/>
      <c r="VEC46"/>
      <c r="VEE46" s="110"/>
      <c r="VEG46"/>
      <c r="VEI46" s="110"/>
      <c r="VEK46"/>
      <c r="VEM46" s="110"/>
      <c r="VEO46"/>
      <c r="VEQ46" s="110"/>
      <c r="VES46"/>
      <c r="VEU46" s="110"/>
      <c r="VEW46"/>
      <c r="VEY46" s="110"/>
      <c r="VFA46"/>
      <c r="VFC46" s="110"/>
      <c r="VFE46"/>
      <c r="VFG46" s="110"/>
      <c r="VFI46"/>
      <c r="VFK46" s="110"/>
      <c r="VFM46"/>
      <c r="VFO46" s="110"/>
      <c r="VFQ46"/>
      <c r="VFS46" s="110"/>
      <c r="VFU46"/>
      <c r="VFW46" s="110"/>
      <c r="VFY46"/>
      <c r="VGA46" s="110"/>
      <c r="VGC46"/>
      <c r="VGE46" s="110"/>
      <c r="VGG46"/>
      <c r="VGI46" s="110"/>
      <c r="VGK46"/>
      <c r="VGM46" s="110"/>
      <c r="VGO46"/>
      <c r="VGQ46" s="110"/>
      <c r="VGS46"/>
      <c r="VGU46" s="110"/>
      <c r="VGW46"/>
      <c r="VGY46" s="110"/>
      <c r="VHA46"/>
      <c r="VHC46" s="110"/>
      <c r="VHE46"/>
      <c r="VHG46" s="110"/>
      <c r="VHI46"/>
      <c r="VHK46" s="110"/>
      <c r="VHM46"/>
      <c r="VHO46" s="110"/>
      <c r="VHQ46"/>
      <c r="VHS46" s="110"/>
      <c r="VHU46"/>
      <c r="VHW46" s="110"/>
      <c r="VHY46"/>
      <c r="VIA46" s="110"/>
      <c r="VIC46"/>
      <c r="VIE46" s="110"/>
      <c r="VIG46"/>
      <c r="VII46" s="110"/>
      <c r="VIK46"/>
      <c r="VIM46" s="110"/>
      <c r="VIO46"/>
      <c r="VIQ46" s="110"/>
      <c r="VIS46"/>
      <c r="VIU46" s="110"/>
      <c r="VIW46"/>
      <c r="VIY46" s="110"/>
      <c r="VJA46"/>
      <c r="VJC46" s="110"/>
      <c r="VJE46"/>
      <c r="VJG46" s="110"/>
      <c r="VJI46"/>
      <c r="VJK46" s="110"/>
      <c r="VJM46"/>
      <c r="VJO46" s="110"/>
      <c r="VJQ46"/>
      <c r="VJS46" s="110"/>
      <c r="VJU46"/>
      <c r="VJW46" s="110"/>
      <c r="VJY46"/>
      <c r="VKA46" s="110"/>
      <c r="VKC46"/>
      <c r="VKE46" s="110"/>
      <c r="VKG46"/>
      <c r="VKI46" s="110"/>
      <c r="VKK46"/>
      <c r="VKM46" s="110"/>
      <c r="VKO46"/>
      <c r="VKQ46" s="110"/>
      <c r="VKS46"/>
      <c r="VKU46" s="110"/>
      <c r="VKW46"/>
      <c r="VKY46" s="110"/>
      <c r="VLA46"/>
      <c r="VLC46" s="110"/>
      <c r="VLE46"/>
      <c r="VLG46" s="110"/>
      <c r="VLI46"/>
      <c r="VLK46" s="110"/>
      <c r="VLM46"/>
      <c r="VLO46" s="110"/>
      <c r="VLQ46"/>
      <c r="VLS46" s="110"/>
      <c r="VLU46"/>
      <c r="VLW46" s="110"/>
      <c r="VLY46"/>
      <c r="VMA46" s="110"/>
      <c r="VMC46"/>
      <c r="VME46" s="110"/>
      <c r="VMG46"/>
      <c r="VMI46" s="110"/>
      <c r="VMK46"/>
      <c r="VMM46" s="110"/>
      <c r="VMO46"/>
      <c r="VMQ46" s="110"/>
      <c r="VMS46"/>
      <c r="VMU46" s="110"/>
      <c r="VMW46"/>
      <c r="VMY46" s="110"/>
      <c r="VNA46"/>
      <c r="VNC46" s="110"/>
      <c r="VNE46"/>
      <c r="VNG46" s="110"/>
      <c r="VNI46"/>
      <c r="VNK46" s="110"/>
      <c r="VNM46"/>
      <c r="VNO46" s="110"/>
      <c r="VNQ46"/>
      <c r="VNS46" s="110"/>
      <c r="VNU46"/>
      <c r="VNW46" s="110"/>
      <c r="VNY46"/>
      <c r="VOA46" s="110"/>
      <c r="VOC46"/>
      <c r="VOE46" s="110"/>
      <c r="VOG46"/>
      <c r="VOI46" s="110"/>
      <c r="VOK46"/>
      <c r="VOM46" s="110"/>
      <c r="VOO46"/>
      <c r="VOQ46" s="110"/>
      <c r="VOS46"/>
      <c r="VOU46" s="110"/>
      <c r="VOW46"/>
      <c r="VOY46" s="110"/>
      <c r="VPA46"/>
      <c r="VPC46" s="110"/>
      <c r="VPE46"/>
      <c r="VPG46" s="110"/>
      <c r="VPI46"/>
      <c r="VPK46" s="110"/>
      <c r="VPM46"/>
      <c r="VPO46" s="110"/>
      <c r="VPQ46"/>
      <c r="VPS46" s="110"/>
      <c r="VPU46"/>
      <c r="VPW46" s="110"/>
      <c r="VPY46"/>
      <c r="VQA46" s="110"/>
      <c r="VQC46"/>
      <c r="VQE46" s="110"/>
      <c r="VQG46"/>
      <c r="VQI46" s="110"/>
      <c r="VQK46"/>
      <c r="VQM46" s="110"/>
      <c r="VQO46"/>
      <c r="VQQ46" s="110"/>
      <c r="VQS46"/>
      <c r="VQU46" s="110"/>
      <c r="VQW46"/>
      <c r="VQY46" s="110"/>
      <c r="VRA46"/>
      <c r="VRC46" s="110"/>
      <c r="VRE46"/>
      <c r="VRG46" s="110"/>
      <c r="VRI46"/>
      <c r="VRK46" s="110"/>
      <c r="VRM46"/>
      <c r="VRO46" s="110"/>
      <c r="VRQ46"/>
      <c r="VRS46" s="110"/>
      <c r="VRU46"/>
      <c r="VRW46" s="110"/>
      <c r="VRY46"/>
      <c r="VSA46" s="110"/>
      <c r="VSC46"/>
      <c r="VSE46" s="110"/>
      <c r="VSG46"/>
      <c r="VSI46" s="110"/>
      <c r="VSK46"/>
      <c r="VSM46" s="110"/>
      <c r="VSO46"/>
      <c r="VSQ46" s="110"/>
      <c r="VSS46"/>
      <c r="VSU46" s="110"/>
      <c r="VSW46"/>
      <c r="VSY46" s="110"/>
      <c r="VTA46"/>
      <c r="VTC46" s="110"/>
      <c r="VTE46"/>
      <c r="VTG46" s="110"/>
      <c r="VTI46"/>
      <c r="VTK46" s="110"/>
      <c r="VTM46"/>
      <c r="VTO46" s="110"/>
      <c r="VTQ46"/>
      <c r="VTS46" s="110"/>
      <c r="VTU46"/>
      <c r="VTW46" s="110"/>
      <c r="VTY46"/>
      <c r="VUA46" s="110"/>
      <c r="VUC46"/>
      <c r="VUE46" s="110"/>
      <c r="VUG46"/>
      <c r="VUI46" s="110"/>
      <c r="VUK46"/>
      <c r="VUM46" s="110"/>
      <c r="VUO46"/>
      <c r="VUQ46" s="110"/>
      <c r="VUS46"/>
      <c r="VUU46" s="110"/>
      <c r="VUW46"/>
      <c r="VUY46" s="110"/>
      <c r="VVA46"/>
      <c r="VVC46" s="110"/>
      <c r="VVE46"/>
      <c r="VVG46" s="110"/>
      <c r="VVI46"/>
      <c r="VVK46" s="110"/>
      <c r="VVM46"/>
      <c r="VVO46" s="110"/>
      <c r="VVQ46"/>
      <c r="VVS46" s="110"/>
      <c r="VVU46"/>
      <c r="VVW46" s="110"/>
      <c r="VVY46"/>
      <c r="VWA46" s="110"/>
      <c r="VWC46"/>
      <c r="VWE46" s="110"/>
      <c r="VWG46"/>
      <c r="VWI46" s="110"/>
      <c r="VWK46"/>
      <c r="VWM46" s="110"/>
      <c r="VWO46"/>
      <c r="VWQ46" s="110"/>
      <c r="VWS46"/>
      <c r="VWU46" s="110"/>
      <c r="VWW46"/>
      <c r="VWY46" s="110"/>
      <c r="VXA46"/>
      <c r="VXC46" s="110"/>
      <c r="VXE46"/>
      <c r="VXG46" s="110"/>
      <c r="VXI46"/>
      <c r="VXK46" s="110"/>
      <c r="VXM46"/>
      <c r="VXO46" s="110"/>
      <c r="VXQ46"/>
      <c r="VXS46" s="110"/>
      <c r="VXU46"/>
      <c r="VXW46" s="110"/>
      <c r="VXY46"/>
      <c r="VYA46" s="110"/>
      <c r="VYC46"/>
      <c r="VYE46" s="110"/>
      <c r="VYG46"/>
      <c r="VYI46" s="110"/>
      <c r="VYK46"/>
      <c r="VYM46" s="110"/>
      <c r="VYO46"/>
      <c r="VYQ46" s="110"/>
      <c r="VYS46"/>
      <c r="VYU46" s="110"/>
      <c r="VYW46"/>
      <c r="VYY46" s="110"/>
      <c r="VZA46"/>
      <c r="VZC46" s="110"/>
      <c r="VZE46"/>
      <c r="VZG46" s="110"/>
      <c r="VZI46"/>
      <c r="VZK46" s="110"/>
      <c r="VZM46"/>
      <c r="VZO46" s="110"/>
      <c r="VZQ46"/>
      <c r="VZS46" s="110"/>
      <c r="VZU46"/>
      <c r="VZW46" s="110"/>
      <c r="VZY46"/>
      <c r="WAA46" s="110"/>
      <c r="WAC46"/>
      <c r="WAE46" s="110"/>
      <c r="WAG46"/>
      <c r="WAI46" s="110"/>
      <c r="WAK46"/>
      <c r="WAM46" s="110"/>
      <c r="WAO46"/>
      <c r="WAQ46" s="110"/>
      <c r="WAS46"/>
      <c r="WAU46" s="110"/>
      <c r="WAW46"/>
      <c r="WAY46" s="110"/>
      <c r="WBA46"/>
      <c r="WBC46" s="110"/>
      <c r="WBE46"/>
      <c r="WBG46" s="110"/>
      <c r="WBI46"/>
      <c r="WBK46" s="110"/>
      <c r="WBM46"/>
      <c r="WBO46" s="110"/>
      <c r="WBQ46"/>
      <c r="WBS46" s="110"/>
      <c r="WBU46"/>
      <c r="WBW46" s="110"/>
      <c r="WBY46"/>
      <c r="WCA46" s="110"/>
      <c r="WCC46"/>
      <c r="WCE46" s="110"/>
      <c r="WCG46"/>
      <c r="WCI46" s="110"/>
      <c r="WCK46"/>
      <c r="WCM46" s="110"/>
      <c r="WCO46"/>
      <c r="WCQ46" s="110"/>
      <c r="WCS46"/>
      <c r="WCU46" s="110"/>
      <c r="WCW46"/>
      <c r="WCY46" s="110"/>
      <c r="WDA46"/>
      <c r="WDC46" s="110"/>
      <c r="WDE46"/>
      <c r="WDG46" s="110"/>
      <c r="WDI46"/>
      <c r="WDK46" s="110"/>
      <c r="WDM46"/>
      <c r="WDO46" s="110"/>
      <c r="WDQ46"/>
      <c r="WDS46" s="110"/>
      <c r="WDU46"/>
      <c r="WDW46" s="110"/>
      <c r="WDY46"/>
      <c r="WEA46" s="110"/>
      <c r="WEC46"/>
      <c r="WEE46" s="110"/>
      <c r="WEG46"/>
      <c r="WEI46" s="110"/>
      <c r="WEK46"/>
      <c r="WEM46" s="110"/>
      <c r="WEO46"/>
      <c r="WEQ46" s="110"/>
      <c r="WES46"/>
      <c r="WEU46" s="110"/>
      <c r="WEW46"/>
      <c r="WEY46" s="110"/>
      <c r="WFA46"/>
      <c r="WFC46" s="110"/>
      <c r="WFE46"/>
      <c r="WFG46" s="110"/>
      <c r="WFI46"/>
      <c r="WFK46" s="110"/>
      <c r="WFM46"/>
      <c r="WFO46" s="110"/>
      <c r="WFQ46"/>
      <c r="WFS46" s="110"/>
      <c r="WFU46"/>
      <c r="WFW46" s="110"/>
      <c r="WFY46"/>
      <c r="WGA46" s="110"/>
      <c r="WGC46"/>
      <c r="WGE46" s="110"/>
      <c r="WGG46"/>
      <c r="WGI46" s="110"/>
      <c r="WGK46"/>
      <c r="WGM46" s="110"/>
      <c r="WGO46"/>
      <c r="WGQ46" s="110"/>
      <c r="WGS46"/>
      <c r="WGU46" s="110"/>
      <c r="WGW46"/>
      <c r="WGY46" s="110"/>
      <c r="WHA46"/>
      <c r="WHC46" s="110"/>
      <c r="WHE46"/>
      <c r="WHG46" s="110"/>
      <c r="WHI46"/>
      <c r="WHK46" s="110"/>
      <c r="WHM46"/>
      <c r="WHO46" s="110"/>
      <c r="WHQ46"/>
      <c r="WHS46" s="110"/>
      <c r="WHU46"/>
      <c r="WHW46" s="110"/>
      <c r="WHY46"/>
      <c r="WIA46" s="110"/>
      <c r="WIC46"/>
      <c r="WIE46" s="110"/>
      <c r="WIG46"/>
      <c r="WII46" s="110"/>
      <c r="WIK46"/>
      <c r="WIM46" s="110"/>
      <c r="WIO46"/>
      <c r="WIQ46" s="110"/>
      <c r="WIS46"/>
      <c r="WIU46" s="110"/>
      <c r="WIW46"/>
      <c r="WIY46" s="110"/>
      <c r="WJA46"/>
      <c r="WJC46" s="110"/>
      <c r="WJE46"/>
      <c r="WJG46" s="110"/>
      <c r="WJI46"/>
      <c r="WJK46" s="110"/>
      <c r="WJM46"/>
      <c r="WJO46" s="110"/>
      <c r="WJQ46"/>
      <c r="WJS46" s="110"/>
      <c r="WJU46"/>
      <c r="WJW46" s="110"/>
      <c r="WJY46"/>
      <c r="WKA46" s="110"/>
      <c r="WKC46"/>
      <c r="WKE46" s="110"/>
      <c r="WKG46"/>
      <c r="WKI46" s="110"/>
      <c r="WKK46"/>
      <c r="WKM46" s="110"/>
      <c r="WKO46"/>
      <c r="WKQ46" s="110"/>
      <c r="WKS46"/>
      <c r="WKU46" s="110"/>
      <c r="WKW46"/>
      <c r="WKY46" s="110"/>
      <c r="WLA46"/>
      <c r="WLC46" s="110"/>
      <c r="WLE46"/>
      <c r="WLG46" s="110"/>
      <c r="WLI46"/>
      <c r="WLK46" s="110"/>
      <c r="WLM46"/>
      <c r="WLO46" s="110"/>
      <c r="WLQ46"/>
      <c r="WLS46" s="110"/>
      <c r="WLU46"/>
      <c r="WLW46" s="110"/>
      <c r="WLY46"/>
      <c r="WMA46" s="110"/>
      <c r="WMC46"/>
      <c r="WME46" s="110"/>
      <c r="WMG46"/>
      <c r="WMI46" s="110"/>
      <c r="WMK46"/>
      <c r="WMM46" s="110"/>
      <c r="WMO46"/>
      <c r="WMQ46" s="110"/>
      <c r="WMS46"/>
      <c r="WMU46" s="110"/>
      <c r="WMW46"/>
      <c r="WMY46" s="110"/>
      <c r="WNA46"/>
      <c r="WNC46" s="110"/>
      <c r="WNE46"/>
      <c r="WNG46" s="110"/>
      <c r="WNI46"/>
      <c r="WNK46" s="110"/>
      <c r="WNM46"/>
      <c r="WNO46" s="110"/>
      <c r="WNQ46"/>
      <c r="WNS46" s="110"/>
      <c r="WNU46"/>
      <c r="WNW46" s="110"/>
      <c r="WNY46"/>
      <c r="WOA46" s="110"/>
      <c r="WOC46"/>
      <c r="WOE46" s="110"/>
      <c r="WOG46"/>
      <c r="WOI46" s="110"/>
      <c r="WOK46"/>
      <c r="WOM46" s="110"/>
      <c r="WOO46"/>
      <c r="WOQ46" s="110"/>
      <c r="WOS46"/>
      <c r="WOU46" s="110"/>
      <c r="WOW46"/>
      <c r="WOY46" s="110"/>
      <c r="WPA46"/>
      <c r="WPC46" s="110"/>
      <c r="WPE46"/>
      <c r="WPG46" s="110"/>
      <c r="WPI46"/>
      <c r="WPK46" s="110"/>
      <c r="WPM46"/>
      <c r="WPO46" s="110"/>
      <c r="WPQ46"/>
      <c r="WPS46" s="110"/>
      <c r="WPU46"/>
      <c r="WPW46" s="110"/>
      <c r="WPY46"/>
      <c r="WQA46" s="110"/>
      <c r="WQC46"/>
      <c r="WQE46" s="110"/>
      <c r="WQG46"/>
      <c r="WQI46" s="110"/>
      <c r="WQK46"/>
      <c r="WQM46" s="110"/>
      <c r="WQO46"/>
      <c r="WQQ46" s="110"/>
      <c r="WQS46"/>
      <c r="WQU46" s="110"/>
      <c r="WQW46"/>
      <c r="WQY46" s="110"/>
      <c r="WRA46"/>
      <c r="WRC46" s="110"/>
      <c r="WRE46"/>
      <c r="WRG46" s="110"/>
      <c r="WRI46"/>
      <c r="WRK46" s="110"/>
      <c r="WRM46"/>
      <c r="WRO46" s="110"/>
      <c r="WRQ46"/>
      <c r="WRS46" s="110"/>
      <c r="WRU46"/>
      <c r="WRW46" s="110"/>
      <c r="WRY46"/>
      <c r="WSA46" s="110"/>
      <c r="WSC46"/>
      <c r="WSE46" s="110"/>
      <c r="WSG46"/>
      <c r="WSI46" s="110"/>
      <c r="WSK46"/>
      <c r="WSM46" s="110"/>
      <c r="WSO46"/>
      <c r="WSQ46" s="110"/>
      <c r="WSS46"/>
      <c r="WSU46" s="110"/>
      <c r="WSW46"/>
      <c r="WSY46" s="110"/>
      <c r="WTA46"/>
      <c r="WTC46" s="110"/>
      <c r="WTE46"/>
      <c r="WTG46" s="110"/>
      <c r="WTI46"/>
      <c r="WTK46" s="110"/>
      <c r="WTM46"/>
      <c r="WTO46" s="110"/>
      <c r="WTQ46"/>
      <c r="WTS46" s="110"/>
      <c r="WTU46"/>
      <c r="WTW46" s="110"/>
      <c r="WTY46"/>
      <c r="WUA46" s="110"/>
      <c r="WUC46"/>
      <c r="WUE46" s="110"/>
      <c r="WUG46"/>
      <c r="WUI46" s="110"/>
      <c r="WUK46"/>
      <c r="WUM46" s="110"/>
      <c r="WUO46"/>
      <c r="WUQ46" s="110"/>
      <c r="WUS46"/>
      <c r="WUU46" s="110"/>
      <c r="WUW46"/>
      <c r="WUY46" s="110"/>
      <c r="WVA46"/>
      <c r="WVC46" s="110"/>
      <c r="WVE46"/>
      <c r="WVG46" s="110"/>
      <c r="WVI46"/>
      <c r="WVK46" s="110"/>
      <c r="WVM46"/>
      <c r="WVO46" s="110"/>
      <c r="WVQ46"/>
      <c r="WVS46" s="110"/>
      <c r="WVU46"/>
      <c r="WVW46" s="110"/>
      <c r="WVY46"/>
      <c r="WWA46" s="110"/>
      <c r="WWC46"/>
      <c r="WWE46" s="110"/>
      <c r="WWG46"/>
      <c r="WWI46" s="110"/>
      <c r="WWK46"/>
      <c r="WWM46" s="110"/>
      <c r="WWO46"/>
      <c r="WWQ46" s="110"/>
      <c r="WWS46"/>
      <c r="WWU46" s="110"/>
      <c r="WWW46"/>
      <c r="WWY46" s="110"/>
      <c r="WXA46"/>
      <c r="WXC46" s="110"/>
      <c r="WXE46"/>
      <c r="WXG46" s="110"/>
      <c r="WXI46"/>
      <c r="WXK46" s="110"/>
      <c r="WXM46"/>
      <c r="WXO46" s="110"/>
      <c r="WXQ46"/>
      <c r="WXS46" s="110"/>
      <c r="WXU46"/>
      <c r="WXW46" s="110"/>
      <c r="WXY46"/>
      <c r="WYA46" s="110"/>
      <c r="WYC46"/>
      <c r="WYE46" s="110"/>
      <c r="WYG46"/>
      <c r="WYI46" s="110"/>
      <c r="WYK46"/>
      <c r="WYM46" s="110"/>
      <c r="WYO46"/>
      <c r="WYQ46" s="110"/>
      <c r="WYS46"/>
      <c r="WYU46" s="110"/>
      <c r="WYW46"/>
      <c r="WYY46" s="110"/>
      <c r="WZA46"/>
      <c r="WZC46" s="110"/>
      <c r="WZE46"/>
      <c r="WZG46" s="110"/>
      <c r="WZI46"/>
      <c r="WZK46" s="110"/>
      <c r="WZM46"/>
      <c r="WZO46" s="110"/>
      <c r="WZQ46"/>
      <c r="WZS46" s="110"/>
      <c r="WZU46"/>
      <c r="WZW46" s="110"/>
      <c r="WZY46"/>
      <c r="XAA46" s="110"/>
      <c r="XAC46"/>
      <c r="XAE46" s="110"/>
      <c r="XAG46"/>
      <c r="XAI46" s="110"/>
      <c r="XAK46"/>
      <c r="XAM46" s="110"/>
      <c r="XAO46"/>
      <c r="XAQ46" s="110"/>
      <c r="XAS46"/>
      <c r="XAU46" s="110"/>
      <c r="XAW46"/>
      <c r="XAY46" s="110"/>
      <c r="XBA46"/>
      <c r="XBC46" s="110"/>
      <c r="XBE46"/>
      <c r="XBG46" s="110"/>
      <c r="XBI46"/>
      <c r="XBK46" s="110"/>
      <c r="XBM46"/>
      <c r="XBO46" s="110"/>
      <c r="XBQ46"/>
      <c r="XBS46" s="110"/>
      <c r="XBU46"/>
      <c r="XBW46" s="110"/>
      <c r="XBY46"/>
      <c r="XCA46" s="110"/>
      <c r="XCC46"/>
      <c r="XCE46" s="110"/>
      <c r="XCG46"/>
      <c r="XCI46" s="110"/>
      <c r="XCK46"/>
      <c r="XCM46" s="110"/>
      <c r="XCO46"/>
      <c r="XCQ46" s="110"/>
      <c r="XCS46"/>
      <c r="XCU46" s="110"/>
      <c r="XCW46"/>
      <c r="XCY46" s="110"/>
      <c r="XDA46"/>
      <c r="XDC46" s="110"/>
      <c r="XDE46"/>
      <c r="XDG46" s="110"/>
      <c r="XDI46"/>
      <c r="XDK46" s="110"/>
      <c r="XDM46"/>
      <c r="XDO46" s="110"/>
      <c r="XDQ46"/>
      <c r="XDS46" s="110"/>
      <c r="XDU46"/>
      <c r="XDW46" s="110"/>
      <c r="XDY46"/>
      <c r="XEA46" s="110"/>
      <c r="XEC46"/>
      <c r="XEE46" s="110"/>
      <c r="XEG46"/>
      <c r="XEI46" s="110"/>
      <c r="XEK46"/>
      <c r="XEM46" s="110"/>
      <c r="XEO46"/>
      <c r="XEQ46" s="110"/>
      <c r="XES46"/>
      <c r="XEU46" s="110"/>
      <c r="XEW46"/>
      <c r="XEY46" s="110"/>
      <c r="XFA46"/>
      <c r="XFC46" s="110"/>
    </row>
    <row r="47" spans="1:1023 1025:2047 2049:3071 3073:4095 4097:5119 5121:6143 6145:7167 7169:8191 8193:9215 9217:10239 10241:11263 11265:12287 12289:13311 13313:14335 14337:15359 15361:16383" s="67" customFormat="1" x14ac:dyDescent="0.25">
      <c r="A47"/>
      <c r="B47" s="111" t="s">
        <v>410</v>
      </c>
      <c r="C47" s="110"/>
      <c r="E47"/>
      <c r="G47" s="110"/>
      <c r="I47"/>
      <c r="K47" s="110"/>
      <c r="M47"/>
      <c r="O47" s="110"/>
      <c r="Q47"/>
      <c r="S47" s="110"/>
      <c r="U47"/>
      <c r="W47" s="110"/>
      <c r="Y47"/>
      <c r="AA47" s="110"/>
      <c r="AC47"/>
      <c r="AE47" s="110"/>
      <c r="AG47"/>
      <c r="AI47" s="110"/>
      <c r="AK47"/>
      <c r="AM47" s="110"/>
      <c r="AO47"/>
      <c r="AQ47" s="110"/>
      <c r="AS47"/>
      <c r="AU47" s="110"/>
      <c r="AW47"/>
      <c r="AY47" s="110"/>
      <c r="BA47"/>
      <c r="BC47" s="110"/>
      <c r="BE47"/>
      <c r="BG47" s="110"/>
      <c r="BI47"/>
      <c r="BK47" s="110"/>
      <c r="BM47"/>
      <c r="BO47" s="110"/>
      <c r="BQ47"/>
      <c r="BS47" s="110"/>
      <c r="BU47"/>
      <c r="BW47" s="110"/>
      <c r="BY47"/>
      <c r="CA47" s="110"/>
      <c r="CC47"/>
      <c r="CE47" s="110"/>
      <c r="CG47"/>
      <c r="CI47" s="110"/>
      <c r="CK47"/>
      <c r="CM47" s="110"/>
      <c r="CO47"/>
      <c r="CQ47" s="110"/>
      <c r="CS47"/>
      <c r="CU47" s="110"/>
      <c r="CW47"/>
      <c r="CY47" s="110"/>
      <c r="DA47"/>
      <c r="DC47" s="110"/>
      <c r="DE47"/>
      <c r="DG47" s="110"/>
      <c r="DI47"/>
      <c r="DK47" s="110"/>
      <c r="DM47"/>
      <c r="DO47" s="110"/>
      <c r="DQ47"/>
      <c r="DS47" s="110"/>
      <c r="DU47"/>
      <c r="DW47" s="110"/>
      <c r="DY47"/>
      <c r="EA47" s="110"/>
      <c r="EC47"/>
      <c r="EE47" s="110"/>
      <c r="EG47"/>
      <c r="EI47" s="110"/>
      <c r="EK47"/>
      <c r="EM47" s="110"/>
      <c r="EO47"/>
      <c r="EQ47" s="110"/>
      <c r="ES47"/>
      <c r="EU47" s="110"/>
      <c r="EW47"/>
      <c r="EY47" s="110"/>
      <c r="FA47"/>
      <c r="FC47" s="110"/>
      <c r="FE47"/>
      <c r="FG47" s="110"/>
      <c r="FI47"/>
      <c r="FK47" s="110"/>
      <c r="FM47"/>
      <c r="FO47" s="110"/>
      <c r="FQ47"/>
      <c r="FS47" s="110"/>
      <c r="FU47"/>
      <c r="FW47" s="110"/>
      <c r="FY47"/>
      <c r="GA47" s="110"/>
      <c r="GC47"/>
      <c r="GE47" s="110"/>
      <c r="GG47"/>
      <c r="GI47" s="110"/>
      <c r="GK47"/>
      <c r="GM47" s="110"/>
      <c r="GO47"/>
      <c r="GQ47" s="110"/>
      <c r="GS47"/>
      <c r="GU47" s="110"/>
      <c r="GW47"/>
      <c r="GY47" s="110"/>
      <c r="HA47"/>
      <c r="HC47" s="110"/>
      <c r="HE47"/>
      <c r="HG47" s="110"/>
      <c r="HI47"/>
      <c r="HK47" s="110"/>
      <c r="HM47"/>
      <c r="HO47" s="110"/>
      <c r="HQ47"/>
      <c r="HS47" s="110"/>
      <c r="HU47"/>
      <c r="HW47" s="110"/>
      <c r="HY47"/>
      <c r="IA47" s="110"/>
      <c r="IC47"/>
      <c r="IE47" s="110"/>
      <c r="IG47"/>
      <c r="II47" s="110"/>
      <c r="IK47"/>
      <c r="IM47" s="110"/>
      <c r="IO47"/>
      <c r="IQ47" s="110"/>
      <c r="IS47"/>
      <c r="IU47" s="110"/>
      <c r="IW47"/>
      <c r="IY47" s="110"/>
      <c r="JA47"/>
      <c r="JC47" s="110"/>
      <c r="JE47"/>
      <c r="JG47" s="110"/>
      <c r="JI47"/>
      <c r="JK47" s="110"/>
      <c r="JM47"/>
      <c r="JO47" s="110"/>
      <c r="JQ47"/>
      <c r="JS47" s="110"/>
      <c r="JU47"/>
      <c r="JW47" s="110"/>
      <c r="JY47"/>
      <c r="KA47" s="110"/>
      <c r="KC47"/>
      <c r="KE47" s="110"/>
      <c r="KG47"/>
      <c r="KI47" s="110"/>
      <c r="KK47"/>
      <c r="KM47" s="110"/>
      <c r="KO47"/>
      <c r="KQ47" s="110"/>
      <c r="KS47"/>
      <c r="KU47" s="110"/>
      <c r="KW47"/>
      <c r="KY47" s="110"/>
      <c r="LA47"/>
      <c r="LC47" s="110"/>
      <c r="LE47"/>
      <c r="LG47" s="110"/>
      <c r="LI47"/>
      <c r="LK47" s="110"/>
      <c r="LM47"/>
      <c r="LO47" s="110"/>
      <c r="LQ47"/>
      <c r="LS47" s="110"/>
      <c r="LU47"/>
      <c r="LW47" s="110"/>
      <c r="LY47"/>
      <c r="MA47" s="110"/>
      <c r="MC47"/>
      <c r="ME47" s="110"/>
      <c r="MG47"/>
      <c r="MI47" s="110"/>
      <c r="MK47"/>
      <c r="MM47" s="110"/>
      <c r="MO47"/>
      <c r="MQ47" s="110"/>
      <c r="MS47"/>
      <c r="MU47" s="110"/>
      <c r="MW47"/>
      <c r="MY47" s="110"/>
      <c r="NA47"/>
      <c r="NC47" s="110"/>
      <c r="NE47"/>
      <c r="NG47" s="110"/>
      <c r="NI47"/>
      <c r="NK47" s="110"/>
      <c r="NM47"/>
      <c r="NO47" s="110"/>
      <c r="NQ47"/>
      <c r="NS47" s="110"/>
      <c r="NU47"/>
      <c r="NW47" s="110"/>
      <c r="NY47"/>
      <c r="OA47" s="110"/>
      <c r="OC47"/>
      <c r="OE47" s="110"/>
      <c r="OG47"/>
      <c r="OI47" s="110"/>
      <c r="OK47"/>
      <c r="OM47" s="110"/>
      <c r="OO47"/>
      <c r="OQ47" s="110"/>
      <c r="OS47"/>
      <c r="OU47" s="110"/>
      <c r="OW47"/>
      <c r="OY47" s="110"/>
      <c r="PA47"/>
      <c r="PC47" s="110"/>
      <c r="PE47"/>
      <c r="PG47" s="110"/>
      <c r="PI47"/>
      <c r="PK47" s="110"/>
      <c r="PM47"/>
      <c r="PO47" s="110"/>
      <c r="PQ47"/>
      <c r="PS47" s="110"/>
      <c r="PU47"/>
      <c r="PW47" s="110"/>
      <c r="PY47"/>
      <c r="QA47" s="110"/>
      <c r="QC47"/>
      <c r="QE47" s="110"/>
      <c r="QG47"/>
      <c r="QI47" s="110"/>
      <c r="QK47"/>
      <c r="QM47" s="110"/>
      <c r="QO47"/>
      <c r="QQ47" s="110"/>
      <c r="QS47"/>
      <c r="QU47" s="110"/>
      <c r="QW47"/>
      <c r="QY47" s="110"/>
      <c r="RA47"/>
      <c r="RC47" s="110"/>
      <c r="RE47"/>
      <c r="RG47" s="110"/>
      <c r="RI47"/>
      <c r="RK47" s="110"/>
      <c r="RM47"/>
      <c r="RO47" s="110"/>
      <c r="RQ47"/>
      <c r="RS47" s="110"/>
      <c r="RU47"/>
      <c r="RW47" s="110"/>
      <c r="RY47"/>
      <c r="SA47" s="110"/>
      <c r="SC47"/>
      <c r="SE47" s="110"/>
      <c r="SG47"/>
      <c r="SI47" s="110"/>
      <c r="SK47"/>
      <c r="SM47" s="110"/>
      <c r="SO47"/>
      <c r="SQ47" s="110"/>
      <c r="SS47"/>
      <c r="SU47" s="110"/>
      <c r="SW47"/>
      <c r="SY47" s="110"/>
      <c r="TA47"/>
      <c r="TC47" s="110"/>
      <c r="TE47"/>
      <c r="TG47" s="110"/>
      <c r="TI47"/>
      <c r="TK47" s="110"/>
      <c r="TM47"/>
      <c r="TO47" s="110"/>
      <c r="TQ47"/>
      <c r="TS47" s="110"/>
      <c r="TU47"/>
      <c r="TW47" s="110"/>
      <c r="TY47"/>
      <c r="UA47" s="110"/>
      <c r="UC47"/>
      <c r="UE47" s="110"/>
      <c r="UG47"/>
      <c r="UI47" s="110"/>
      <c r="UK47"/>
      <c r="UM47" s="110"/>
      <c r="UO47"/>
      <c r="UQ47" s="110"/>
      <c r="US47"/>
      <c r="UU47" s="110"/>
      <c r="UW47"/>
      <c r="UY47" s="110"/>
      <c r="VA47"/>
      <c r="VC47" s="110"/>
      <c r="VE47"/>
      <c r="VG47" s="110"/>
      <c r="VI47"/>
      <c r="VK47" s="110"/>
      <c r="VM47"/>
      <c r="VO47" s="110"/>
      <c r="VQ47"/>
      <c r="VS47" s="110"/>
      <c r="VU47"/>
      <c r="VW47" s="110"/>
      <c r="VY47"/>
      <c r="WA47" s="110"/>
      <c r="WC47"/>
      <c r="WE47" s="110"/>
      <c r="WG47"/>
      <c r="WI47" s="110"/>
      <c r="WK47"/>
      <c r="WM47" s="110"/>
      <c r="WO47"/>
      <c r="WQ47" s="110"/>
      <c r="WS47"/>
      <c r="WU47" s="110"/>
      <c r="WW47"/>
      <c r="WY47" s="110"/>
      <c r="XA47"/>
      <c r="XC47" s="110"/>
      <c r="XE47"/>
      <c r="XG47" s="110"/>
      <c r="XI47"/>
      <c r="XK47" s="110"/>
      <c r="XM47"/>
      <c r="XO47" s="110"/>
      <c r="XQ47"/>
      <c r="XS47" s="110"/>
      <c r="XU47"/>
      <c r="XW47" s="110"/>
      <c r="XY47"/>
      <c r="YA47" s="110"/>
      <c r="YC47"/>
      <c r="YE47" s="110"/>
      <c r="YG47"/>
      <c r="YI47" s="110"/>
      <c r="YK47"/>
      <c r="YM47" s="110"/>
      <c r="YO47"/>
      <c r="YQ47" s="110"/>
      <c r="YS47"/>
      <c r="YU47" s="110"/>
      <c r="YW47"/>
      <c r="YY47" s="110"/>
      <c r="ZA47"/>
      <c r="ZC47" s="110"/>
      <c r="ZE47"/>
      <c r="ZG47" s="110"/>
      <c r="ZI47"/>
      <c r="ZK47" s="110"/>
      <c r="ZM47"/>
      <c r="ZO47" s="110"/>
      <c r="ZQ47"/>
      <c r="ZS47" s="110"/>
      <c r="ZU47"/>
      <c r="ZW47" s="110"/>
      <c r="ZY47"/>
      <c r="AAA47" s="110"/>
      <c r="AAC47"/>
      <c r="AAE47" s="110"/>
      <c r="AAG47"/>
      <c r="AAI47" s="110"/>
      <c r="AAK47"/>
      <c r="AAM47" s="110"/>
      <c r="AAO47"/>
      <c r="AAQ47" s="110"/>
      <c r="AAS47"/>
      <c r="AAU47" s="110"/>
      <c r="AAW47"/>
      <c r="AAY47" s="110"/>
      <c r="ABA47"/>
      <c r="ABC47" s="110"/>
      <c r="ABE47"/>
      <c r="ABG47" s="110"/>
      <c r="ABI47"/>
      <c r="ABK47" s="110"/>
      <c r="ABM47"/>
      <c r="ABO47" s="110"/>
      <c r="ABQ47"/>
      <c r="ABS47" s="110"/>
      <c r="ABU47"/>
      <c r="ABW47" s="110"/>
      <c r="ABY47"/>
      <c r="ACA47" s="110"/>
      <c r="ACC47"/>
      <c r="ACE47" s="110"/>
      <c r="ACG47"/>
      <c r="ACI47" s="110"/>
      <c r="ACK47"/>
      <c r="ACM47" s="110"/>
      <c r="ACO47"/>
      <c r="ACQ47" s="110"/>
      <c r="ACS47"/>
      <c r="ACU47" s="110"/>
      <c r="ACW47"/>
      <c r="ACY47" s="110"/>
      <c r="ADA47"/>
      <c r="ADC47" s="110"/>
      <c r="ADE47"/>
      <c r="ADG47" s="110"/>
      <c r="ADI47"/>
      <c r="ADK47" s="110"/>
      <c r="ADM47"/>
      <c r="ADO47" s="110"/>
      <c r="ADQ47"/>
      <c r="ADS47" s="110"/>
      <c r="ADU47"/>
      <c r="ADW47" s="110"/>
      <c r="ADY47"/>
      <c r="AEA47" s="110"/>
      <c r="AEC47"/>
      <c r="AEE47" s="110"/>
      <c r="AEG47"/>
      <c r="AEI47" s="110"/>
      <c r="AEK47"/>
      <c r="AEM47" s="110"/>
      <c r="AEO47"/>
      <c r="AEQ47" s="110"/>
      <c r="AES47"/>
      <c r="AEU47" s="110"/>
      <c r="AEW47"/>
      <c r="AEY47" s="110"/>
      <c r="AFA47"/>
      <c r="AFC47" s="110"/>
      <c r="AFE47"/>
      <c r="AFG47" s="110"/>
      <c r="AFI47"/>
      <c r="AFK47" s="110"/>
      <c r="AFM47"/>
      <c r="AFO47" s="110"/>
      <c r="AFQ47"/>
      <c r="AFS47" s="110"/>
      <c r="AFU47"/>
      <c r="AFW47" s="110"/>
      <c r="AFY47"/>
      <c r="AGA47" s="110"/>
      <c r="AGC47"/>
      <c r="AGE47" s="110"/>
      <c r="AGG47"/>
      <c r="AGI47" s="110"/>
      <c r="AGK47"/>
      <c r="AGM47" s="110"/>
      <c r="AGO47"/>
      <c r="AGQ47" s="110"/>
      <c r="AGS47"/>
      <c r="AGU47" s="110"/>
      <c r="AGW47"/>
      <c r="AGY47" s="110"/>
      <c r="AHA47"/>
      <c r="AHC47" s="110"/>
      <c r="AHE47"/>
      <c r="AHG47" s="110"/>
      <c r="AHI47"/>
      <c r="AHK47" s="110"/>
      <c r="AHM47"/>
      <c r="AHO47" s="110"/>
      <c r="AHQ47"/>
      <c r="AHS47" s="110"/>
      <c r="AHU47"/>
      <c r="AHW47" s="110"/>
      <c r="AHY47"/>
      <c r="AIA47" s="110"/>
      <c r="AIC47"/>
      <c r="AIE47" s="110"/>
      <c r="AIG47"/>
      <c r="AII47" s="110"/>
      <c r="AIK47"/>
      <c r="AIM47" s="110"/>
      <c r="AIO47"/>
      <c r="AIQ47" s="110"/>
      <c r="AIS47"/>
      <c r="AIU47" s="110"/>
      <c r="AIW47"/>
      <c r="AIY47" s="110"/>
      <c r="AJA47"/>
      <c r="AJC47" s="110"/>
      <c r="AJE47"/>
      <c r="AJG47" s="110"/>
      <c r="AJI47"/>
      <c r="AJK47" s="110"/>
      <c r="AJM47"/>
      <c r="AJO47" s="110"/>
      <c r="AJQ47"/>
      <c r="AJS47" s="110"/>
      <c r="AJU47"/>
      <c r="AJW47" s="110"/>
      <c r="AJY47"/>
      <c r="AKA47" s="110"/>
      <c r="AKC47"/>
      <c r="AKE47" s="110"/>
      <c r="AKG47"/>
      <c r="AKI47" s="110"/>
      <c r="AKK47"/>
      <c r="AKM47" s="110"/>
      <c r="AKO47"/>
      <c r="AKQ47" s="110"/>
      <c r="AKS47"/>
      <c r="AKU47" s="110"/>
      <c r="AKW47"/>
      <c r="AKY47" s="110"/>
      <c r="ALA47"/>
      <c r="ALC47" s="110"/>
      <c r="ALE47"/>
      <c r="ALG47" s="110"/>
      <c r="ALI47"/>
      <c r="ALK47" s="110"/>
      <c r="ALM47"/>
      <c r="ALO47" s="110"/>
      <c r="ALQ47"/>
      <c r="ALS47" s="110"/>
      <c r="ALU47"/>
      <c r="ALW47" s="110"/>
      <c r="ALY47"/>
      <c r="AMA47" s="110"/>
      <c r="AMC47"/>
      <c r="AME47" s="110"/>
      <c r="AMG47"/>
      <c r="AMI47" s="110"/>
      <c r="AMK47"/>
      <c r="AMM47" s="110"/>
      <c r="AMO47"/>
      <c r="AMQ47" s="110"/>
      <c r="AMS47"/>
      <c r="AMU47" s="110"/>
      <c r="AMW47"/>
      <c r="AMY47" s="110"/>
      <c r="ANA47"/>
      <c r="ANC47" s="110"/>
      <c r="ANE47"/>
      <c r="ANG47" s="110"/>
      <c r="ANI47"/>
      <c r="ANK47" s="110"/>
      <c r="ANM47"/>
      <c r="ANO47" s="110"/>
      <c r="ANQ47"/>
      <c r="ANS47" s="110"/>
      <c r="ANU47"/>
      <c r="ANW47" s="110"/>
      <c r="ANY47"/>
      <c r="AOA47" s="110"/>
      <c r="AOC47"/>
      <c r="AOE47" s="110"/>
      <c r="AOG47"/>
      <c r="AOI47" s="110"/>
      <c r="AOK47"/>
      <c r="AOM47" s="110"/>
      <c r="AOO47"/>
      <c r="AOQ47" s="110"/>
      <c r="AOS47"/>
      <c r="AOU47" s="110"/>
      <c r="AOW47"/>
      <c r="AOY47" s="110"/>
      <c r="APA47"/>
      <c r="APC47" s="110"/>
      <c r="APE47"/>
      <c r="APG47" s="110"/>
      <c r="API47"/>
      <c r="APK47" s="110"/>
      <c r="APM47"/>
      <c r="APO47" s="110"/>
      <c r="APQ47"/>
      <c r="APS47" s="110"/>
      <c r="APU47"/>
      <c r="APW47" s="110"/>
      <c r="APY47"/>
      <c r="AQA47" s="110"/>
      <c r="AQC47"/>
      <c r="AQE47" s="110"/>
      <c r="AQG47"/>
      <c r="AQI47" s="110"/>
      <c r="AQK47"/>
      <c r="AQM47" s="110"/>
      <c r="AQO47"/>
      <c r="AQQ47" s="110"/>
      <c r="AQS47"/>
      <c r="AQU47" s="110"/>
      <c r="AQW47"/>
      <c r="AQY47" s="110"/>
      <c r="ARA47"/>
      <c r="ARC47" s="110"/>
      <c r="ARE47"/>
      <c r="ARG47" s="110"/>
      <c r="ARI47"/>
      <c r="ARK47" s="110"/>
      <c r="ARM47"/>
      <c r="ARO47" s="110"/>
      <c r="ARQ47"/>
      <c r="ARS47" s="110"/>
      <c r="ARU47"/>
      <c r="ARW47" s="110"/>
      <c r="ARY47"/>
      <c r="ASA47" s="110"/>
      <c r="ASC47"/>
      <c r="ASE47" s="110"/>
      <c r="ASG47"/>
      <c r="ASI47" s="110"/>
      <c r="ASK47"/>
      <c r="ASM47" s="110"/>
      <c r="ASO47"/>
      <c r="ASQ47" s="110"/>
      <c r="ASS47"/>
      <c r="ASU47" s="110"/>
      <c r="ASW47"/>
      <c r="ASY47" s="110"/>
      <c r="ATA47"/>
      <c r="ATC47" s="110"/>
      <c r="ATE47"/>
      <c r="ATG47" s="110"/>
      <c r="ATI47"/>
      <c r="ATK47" s="110"/>
      <c r="ATM47"/>
      <c r="ATO47" s="110"/>
      <c r="ATQ47"/>
      <c r="ATS47" s="110"/>
      <c r="ATU47"/>
      <c r="ATW47" s="110"/>
      <c r="ATY47"/>
      <c r="AUA47" s="110"/>
      <c r="AUC47"/>
      <c r="AUE47" s="110"/>
      <c r="AUG47"/>
      <c r="AUI47" s="110"/>
      <c r="AUK47"/>
      <c r="AUM47" s="110"/>
      <c r="AUO47"/>
      <c r="AUQ47" s="110"/>
      <c r="AUS47"/>
      <c r="AUU47" s="110"/>
      <c r="AUW47"/>
      <c r="AUY47" s="110"/>
      <c r="AVA47"/>
      <c r="AVC47" s="110"/>
      <c r="AVE47"/>
      <c r="AVG47" s="110"/>
      <c r="AVI47"/>
      <c r="AVK47" s="110"/>
      <c r="AVM47"/>
      <c r="AVO47" s="110"/>
      <c r="AVQ47"/>
      <c r="AVS47" s="110"/>
      <c r="AVU47"/>
      <c r="AVW47" s="110"/>
      <c r="AVY47"/>
      <c r="AWA47" s="110"/>
      <c r="AWC47"/>
      <c r="AWE47" s="110"/>
      <c r="AWG47"/>
      <c r="AWI47" s="110"/>
      <c r="AWK47"/>
      <c r="AWM47" s="110"/>
      <c r="AWO47"/>
      <c r="AWQ47" s="110"/>
      <c r="AWS47"/>
      <c r="AWU47" s="110"/>
      <c r="AWW47"/>
      <c r="AWY47" s="110"/>
      <c r="AXA47"/>
      <c r="AXC47" s="110"/>
      <c r="AXE47"/>
      <c r="AXG47" s="110"/>
      <c r="AXI47"/>
      <c r="AXK47" s="110"/>
      <c r="AXM47"/>
      <c r="AXO47" s="110"/>
      <c r="AXQ47"/>
      <c r="AXS47" s="110"/>
      <c r="AXU47"/>
      <c r="AXW47" s="110"/>
      <c r="AXY47"/>
      <c r="AYA47" s="110"/>
      <c r="AYC47"/>
      <c r="AYE47" s="110"/>
      <c r="AYG47"/>
      <c r="AYI47" s="110"/>
      <c r="AYK47"/>
      <c r="AYM47" s="110"/>
      <c r="AYO47"/>
      <c r="AYQ47" s="110"/>
      <c r="AYS47"/>
      <c r="AYU47" s="110"/>
      <c r="AYW47"/>
      <c r="AYY47" s="110"/>
      <c r="AZA47"/>
      <c r="AZC47" s="110"/>
      <c r="AZE47"/>
      <c r="AZG47" s="110"/>
      <c r="AZI47"/>
      <c r="AZK47" s="110"/>
      <c r="AZM47"/>
      <c r="AZO47" s="110"/>
      <c r="AZQ47"/>
      <c r="AZS47" s="110"/>
      <c r="AZU47"/>
      <c r="AZW47" s="110"/>
      <c r="AZY47"/>
      <c r="BAA47" s="110"/>
      <c r="BAC47"/>
      <c r="BAE47" s="110"/>
      <c r="BAG47"/>
      <c r="BAI47" s="110"/>
      <c r="BAK47"/>
      <c r="BAM47" s="110"/>
      <c r="BAO47"/>
      <c r="BAQ47" s="110"/>
      <c r="BAS47"/>
      <c r="BAU47" s="110"/>
      <c r="BAW47"/>
      <c r="BAY47" s="110"/>
      <c r="BBA47"/>
      <c r="BBC47" s="110"/>
      <c r="BBE47"/>
      <c r="BBG47" s="110"/>
      <c r="BBI47"/>
      <c r="BBK47" s="110"/>
      <c r="BBM47"/>
      <c r="BBO47" s="110"/>
      <c r="BBQ47"/>
      <c r="BBS47" s="110"/>
      <c r="BBU47"/>
      <c r="BBW47" s="110"/>
      <c r="BBY47"/>
      <c r="BCA47" s="110"/>
      <c r="BCC47"/>
      <c r="BCE47" s="110"/>
      <c r="BCG47"/>
      <c r="BCI47" s="110"/>
      <c r="BCK47"/>
      <c r="BCM47" s="110"/>
      <c r="BCO47"/>
      <c r="BCQ47" s="110"/>
      <c r="BCS47"/>
      <c r="BCU47" s="110"/>
      <c r="BCW47"/>
      <c r="BCY47" s="110"/>
      <c r="BDA47"/>
      <c r="BDC47" s="110"/>
      <c r="BDE47"/>
      <c r="BDG47" s="110"/>
      <c r="BDI47"/>
      <c r="BDK47" s="110"/>
      <c r="BDM47"/>
      <c r="BDO47" s="110"/>
      <c r="BDQ47"/>
      <c r="BDS47" s="110"/>
      <c r="BDU47"/>
      <c r="BDW47" s="110"/>
      <c r="BDY47"/>
      <c r="BEA47" s="110"/>
      <c r="BEC47"/>
      <c r="BEE47" s="110"/>
      <c r="BEG47"/>
      <c r="BEI47" s="110"/>
      <c r="BEK47"/>
      <c r="BEM47" s="110"/>
      <c r="BEO47"/>
      <c r="BEQ47" s="110"/>
      <c r="BES47"/>
      <c r="BEU47" s="110"/>
      <c r="BEW47"/>
      <c r="BEY47" s="110"/>
      <c r="BFA47"/>
      <c r="BFC47" s="110"/>
      <c r="BFE47"/>
      <c r="BFG47" s="110"/>
      <c r="BFI47"/>
      <c r="BFK47" s="110"/>
      <c r="BFM47"/>
      <c r="BFO47" s="110"/>
      <c r="BFQ47"/>
      <c r="BFS47" s="110"/>
      <c r="BFU47"/>
      <c r="BFW47" s="110"/>
      <c r="BFY47"/>
      <c r="BGA47" s="110"/>
      <c r="BGC47"/>
      <c r="BGE47" s="110"/>
      <c r="BGG47"/>
      <c r="BGI47" s="110"/>
      <c r="BGK47"/>
      <c r="BGM47" s="110"/>
      <c r="BGO47"/>
      <c r="BGQ47" s="110"/>
      <c r="BGS47"/>
      <c r="BGU47" s="110"/>
      <c r="BGW47"/>
      <c r="BGY47" s="110"/>
      <c r="BHA47"/>
      <c r="BHC47" s="110"/>
      <c r="BHE47"/>
      <c r="BHG47" s="110"/>
      <c r="BHI47"/>
      <c r="BHK47" s="110"/>
      <c r="BHM47"/>
      <c r="BHO47" s="110"/>
      <c r="BHQ47"/>
      <c r="BHS47" s="110"/>
      <c r="BHU47"/>
      <c r="BHW47" s="110"/>
      <c r="BHY47"/>
      <c r="BIA47" s="110"/>
      <c r="BIC47"/>
      <c r="BIE47" s="110"/>
      <c r="BIG47"/>
      <c r="BII47" s="110"/>
      <c r="BIK47"/>
      <c r="BIM47" s="110"/>
      <c r="BIO47"/>
      <c r="BIQ47" s="110"/>
      <c r="BIS47"/>
      <c r="BIU47" s="110"/>
      <c r="BIW47"/>
      <c r="BIY47" s="110"/>
      <c r="BJA47"/>
      <c r="BJC47" s="110"/>
      <c r="BJE47"/>
      <c r="BJG47" s="110"/>
      <c r="BJI47"/>
      <c r="BJK47" s="110"/>
      <c r="BJM47"/>
      <c r="BJO47" s="110"/>
      <c r="BJQ47"/>
      <c r="BJS47" s="110"/>
      <c r="BJU47"/>
      <c r="BJW47" s="110"/>
      <c r="BJY47"/>
      <c r="BKA47" s="110"/>
      <c r="BKC47"/>
      <c r="BKE47" s="110"/>
      <c r="BKG47"/>
      <c r="BKI47" s="110"/>
      <c r="BKK47"/>
      <c r="BKM47" s="110"/>
      <c r="BKO47"/>
      <c r="BKQ47" s="110"/>
      <c r="BKS47"/>
      <c r="BKU47" s="110"/>
      <c r="BKW47"/>
      <c r="BKY47" s="110"/>
      <c r="BLA47"/>
      <c r="BLC47" s="110"/>
      <c r="BLE47"/>
      <c r="BLG47" s="110"/>
      <c r="BLI47"/>
      <c r="BLK47" s="110"/>
      <c r="BLM47"/>
      <c r="BLO47" s="110"/>
      <c r="BLQ47"/>
      <c r="BLS47" s="110"/>
      <c r="BLU47"/>
      <c r="BLW47" s="110"/>
      <c r="BLY47"/>
      <c r="BMA47" s="110"/>
      <c r="BMC47"/>
      <c r="BME47" s="110"/>
      <c r="BMG47"/>
      <c r="BMI47" s="110"/>
      <c r="BMK47"/>
      <c r="BMM47" s="110"/>
      <c r="BMO47"/>
      <c r="BMQ47" s="110"/>
      <c r="BMS47"/>
      <c r="BMU47" s="110"/>
      <c r="BMW47"/>
      <c r="BMY47" s="110"/>
      <c r="BNA47"/>
      <c r="BNC47" s="110"/>
      <c r="BNE47"/>
      <c r="BNG47" s="110"/>
      <c r="BNI47"/>
      <c r="BNK47" s="110"/>
      <c r="BNM47"/>
      <c r="BNO47" s="110"/>
      <c r="BNQ47"/>
      <c r="BNS47" s="110"/>
      <c r="BNU47"/>
      <c r="BNW47" s="110"/>
      <c r="BNY47"/>
      <c r="BOA47" s="110"/>
      <c r="BOC47"/>
      <c r="BOE47" s="110"/>
      <c r="BOG47"/>
      <c r="BOI47" s="110"/>
      <c r="BOK47"/>
      <c r="BOM47" s="110"/>
      <c r="BOO47"/>
      <c r="BOQ47" s="110"/>
      <c r="BOS47"/>
      <c r="BOU47" s="110"/>
      <c r="BOW47"/>
      <c r="BOY47" s="110"/>
      <c r="BPA47"/>
      <c r="BPC47" s="110"/>
      <c r="BPE47"/>
      <c r="BPG47" s="110"/>
      <c r="BPI47"/>
      <c r="BPK47" s="110"/>
      <c r="BPM47"/>
      <c r="BPO47" s="110"/>
      <c r="BPQ47"/>
      <c r="BPS47" s="110"/>
      <c r="BPU47"/>
      <c r="BPW47" s="110"/>
      <c r="BPY47"/>
      <c r="BQA47" s="110"/>
      <c r="BQC47"/>
      <c r="BQE47" s="110"/>
      <c r="BQG47"/>
      <c r="BQI47" s="110"/>
      <c r="BQK47"/>
      <c r="BQM47" s="110"/>
      <c r="BQO47"/>
      <c r="BQQ47" s="110"/>
      <c r="BQS47"/>
      <c r="BQU47" s="110"/>
      <c r="BQW47"/>
      <c r="BQY47" s="110"/>
      <c r="BRA47"/>
      <c r="BRC47" s="110"/>
      <c r="BRE47"/>
      <c r="BRG47" s="110"/>
      <c r="BRI47"/>
      <c r="BRK47" s="110"/>
      <c r="BRM47"/>
      <c r="BRO47" s="110"/>
      <c r="BRQ47"/>
      <c r="BRS47" s="110"/>
      <c r="BRU47"/>
      <c r="BRW47" s="110"/>
      <c r="BRY47"/>
      <c r="BSA47" s="110"/>
      <c r="BSC47"/>
      <c r="BSE47" s="110"/>
      <c r="BSG47"/>
      <c r="BSI47" s="110"/>
      <c r="BSK47"/>
      <c r="BSM47" s="110"/>
      <c r="BSO47"/>
      <c r="BSQ47" s="110"/>
      <c r="BSS47"/>
      <c r="BSU47" s="110"/>
      <c r="BSW47"/>
      <c r="BSY47" s="110"/>
      <c r="BTA47"/>
      <c r="BTC47" s="110"/>
      <c r="BTE47"/>
      <c r="BTG47" s="110"/>
      <c r="BTI47"/>
      <c r="BTK47" s="110"/>
      <c r="BTM47"/>
      <c r="BTO47" s="110"/>
      <c r="BTQ47"/>
      <c r="BTS47" s="110"/>
      <c r="BTU47"/>
      <c r="BTW47" s="110"/>
      <c r="BTY47"/>
      <c r="BUA47" s="110"/>
      <c r="BUC47"/>
      <c r="BUE47" s="110"/>
      <c r="BUG47"/>
      <c r="BUI47" s="110"/>
      <c r="BUK47"/>
      <c r="BUM47" s="110"/>
      <c r="BUO47"/>
      <c r="BUQ47" s="110"/>
      <c r="BUS47"/>
      <c r="BUU47" s="110"/>
      <c r="BUW47"/>
      <c r="BUY47" s="110"/>
      <c r="BVA47"/>
      <c r="BVC47" s="110"/>
      <c r="BVE47"/>
      <c r="BVG47" s="110"/>
      <c r="BVI47"/>
      <c r="BVK47" s="110"/>
      <c r="BVM47"/>
      <c r="BVO47" s="110"/>
      <c r="BVQ47"/>
      <c r="BVS47" s="110"/>
      <c r="BVU47"/>
      <c r="BVW47" s="110"/>
      <c r="BVY47"/>
      <c r="BWA47" s="110"/>
      <c r="BWC47"/>
      <c r="BWE47" s="110"/>
      <c r="BWG47"/>
      <c r="BWI47" s="110"/>
      <c r="BWK47"/>
      <c r="BWM47" s="110"/>
      <c r="BWO47"/>
      <c r="BWQ47" s="110"/>
      <c r="BWS47"/>
      <c r="BWU47" s="110"/>
      <c r="BWW47"/>
      <c r="BWY47" s="110"/>
      <c r="BXA47"/>
      <c r="BXC47" s="110"/>
      <c r="BXE47"/>
      <c r="BXG47" s="110"/>
      <c r="BXI47"/>
      <c r="BXK47" s="110"/>
      <c r="BXM47"/>
      <c r="BXO47" s="110"/>
      <c r="BXQ47"/>
      <c r="BXS47" s="110"/>
      <c r="BXU47"/>
      <c r="BXW47" s="110"/>
      <c r="BXY47"/>
      <c r="BYA47" s="110"/>
      <c r="BYC47"/>
      <c r="BYE47" s="110"/>
      <c r="BYG47"/>
      <c r="BYI47" s="110"/>
      <c r="BYK47"/>
      <c r="BYM47" s="110"/>
      <c r="BYO47"/>
      <c r="BYQ47" s="110"/>
      <c r="BYS47"/>
      <c r="BYU47" s="110"/>
      <c r="BYW47"/>
      <c r="BYY47" s="110"/>
      <c r="BZA47"/>
      <c r="BZC47" s="110"/>
      <c r="BZE47"/>
      <c r="BZG47" s="110"/>
      <c r="BZI47"/>
      <c r="BZK47" s="110"/>
      <c r="BZM47"/>
      <c r="BZO47" s="110"/>
      <c r="BZQ47"/>
      <c r="BZS47" s="110"/>
      <c r="BZU47"/>
      <c r="BZW47" s="110"/>
      <c r="BZY47"/>
      <c r="CAA47" s="110"/>
      <c r="CAC47"/>
      <c r="CAE47" s="110"/>
      <c r="CAG47"/>
      <c r="CAI47" s="110"/>
      <c r="CAK47"/>
      <c r="CAM47" s="110"/>
      <c r="CAO47"/>
      <c r="CAQ47" s="110"/>
      <c r="CAS47"/>
      <c r="CAU47" s="110"/>
      <c r="CAW47"/>
      <c r="CAY47" s="110"/>
      <c r="CBA47"/>
      <c r="CBC47" s="110"/>
      <c r="CBE47"/>
      <c r="CBG47" s="110"/>
      <c r="CBI47"/>
      <c r="CBK47" s="110"/>
      <c r="CBM47"/>
      <c r="CBO47" s="110"/>
      <c r="CBQ47"/>
      <c r="CBS47" s="110"/>
      <c r="CBU47"/>
      <c r="CBW47" s="110"/>
      <c r="CBY47"/>
      <c r="CCA47" s="110"/>
      <c r="CCC47"/>
      <c r="CCE47" s="110"/>
      <c r="CCG47"/>
      <c r="CCI47" s="110"/>
      <c r="CCK47"/>
      <c r="CCM47" s="110"/>
      <c r="CCO47"/>
      <c r="CCQ47" s="110"/>
      <c r="CCS47"/>
      <c r="CCU47" s="110"/>
      <c r="CCW47"/>
      <c r="CCY47" s="110"/>
      <c r="CDA47"/>
      <c r="CDC47" s="110"/>
      <c r="CDE47"/>
      <c r="CDG47" s="110"/>
      <c r="CDI47"/>
      <c r="CDK47" s="110"/>
      <c r="CDM47"/>
      <c r="CDO47" s="110"/>
      <c r="CDQ47"/>
      <c r="CDS47" s="110"/>
      <c r="CDU47"/>
      <c r="CDW47" s="110"/>
      <c r="CDY47"/>
      <c r="CEA47" s="110"/>
      <c r="CEC47"/>
      <c r="CEE47" s="110"/>
      <c r="CEG47"/>
      <c r="CEI47" s="110"/>
      <c r="CEK47"/>
      <c r="CEM47" s="110"/>
      <c r="CEO47"/>
      <c r="CEQ47" s="110"/>
      <c r="CES47"/>
      <c r="CEU47" s="110"/>
      <c r="CEW47"/>
      <c r="CEY47" s="110"/>
      <c r="CFA47"/>
      <c r="CFC47" s="110"/>
      <c r="CFE47"/>
      <c r="CFG47" s="110"/>
      <c r="CFI47"/>
      <c r="CFK47" s="110"/>
      <c r="CFM47"/>
      <c r="CFO47" s="110"/>
      <c r="CFQ47"/>
      <c r="CFS47" s="110"/>
      <c r="CFU47"/>
      <c r="CFW47" s="110"/>
      <c r="CFY47"/>
      <c r="CGA47" s="110"/>
      <c r="CGC47"/>
      <c r="CGE47" s="110"/>
      <c r="CGG47"/>
      <c r="CGI47" s="110"/>
      <c r="CGK47"/>
      <c r="CGM47" s="110"/>
      <c r="CGO47"/>
      <c r="CGQ47" s="110"/>
      <c r="CGS47"/>
      <c r="CGU47" s="110"/>
      <c r="CGW47"/>
      <c r="CGY47" s="110"/>
      <c r="CHA47"/>
      <c r="CHC47" s="110"/>
      <c r="CHE47"/>
      <c r="CHG47" s="110"/>
      <c r="CHI47"/>
      <c r="CHK47" s="110"/>
      <c r="CHM47"/>
      <c r="CHO47" s="110"/>
      <c r="CHQ47"/>
      <c r="CHS47" s="110"/>
      <c r="CHU47"/>
      <c r="CHW47" s="110"/>
      <c r="CHY47"/>
      <c r="CIA47" s="110"/>
      <c r="CIC47"/>
      <c r="CIE47" s="110"/>
      <c r="CIG47"/>
      <c r="CII47" s="110"/>
      <c r="CIK47"/>
      <c r="CIM47" s="110"/>
      <c r="CIO47"/>
      <c r="CIQ47" s="110"/>
      <c r="CIS47"/>
      <c r="CIU47" s="110"/>
      <c r="CIW47"/>
      <c r="CIY47" s="110"/>
      <c r="CJA47"/>
      <c r="CJC47" s="110"/>
      <c r="CJE47"/>
      <c r="CJG47" s="110"/>
      <c r="CJI47"/>
      <c r="CJK47" s="110"/>
      <c r="CJM47"/>
      <c r="CJO47" s="110"/>
      <c r="CJQ47"/>
      <c r="CJS47" s="110"/>
      <c r="CJU47"/>
      <c r="CJW47" s="110"/>
      <c r="CJY47"/>
      <c r="CKA47" s="110"/>
      <c r="CKC47"/>
      <c r="CKE47" s="110"/>
      <c r="CKG47"/>
      <c r="CKI47" s="110"/>
      <c r="CKK47"/>
      <c r="CKM47" s="110"/>
      <c r="CKO47"/>
      <c r="CKQ47" s="110"/>
      <c r="CKS47"/>
      <c r="CKU47" s="110"/>
      <c r="CKW47"/>
      <c r="CKY47" s="110"/>
      <c r="CLA47"/>
      <c r="CLC47" s="110"/>
      <c r="CLE47"/>
      <c r="CLG47" s="110"/>
      <c r="CLI47"/>
      <c r="CLK47" s="110"/>
      <c r="CLM47"/>
      <c r="CLO47" s="110"/>
      <c r="CLQ47"/>
      <c r="CLS47" s="110"/>
      <c r="CLU47"/>
      <c r="CLW47" s="110"/>
      <c r="CLY47"/>
      <c r="CMA47" s="110"/>
      <c r="CMC47"/>
      <c r="CME47" s="110"/>
      <c r="CMG47"/>
      <c r="CMI47" s="110"/>
      <c r="CMK47"/>
      <c r="CMM47" s="110"/>
      <c r="CMO47"/>
      <c r="CMQ47" s="110"/>
      <c r="CMS47"/>
      <c r="CMU47" s="110"/>
      <c r="CMW47"/>
      <c r="CMY47" s="110"/>
      <c r="CNA47"/>
      <c r="CNC47" s="110"/>
      <c r="CNE47"/>
      <c r="CNG47" s="110"/>
      <c r="CNI47"/>
      <c r="CNK47" s="110"/>
      <c r="CNM47"/>
      <c r="CNO47" s="110"/>
      <c r="CNQ47"/>
      <c r="CNS47" s="110"/>
      <c r="CNU47"/>
      <c r="CNW47" s="110"/>
      <c r="CNY47"/>
      <c r="COA47" s="110"/>
      <c r="COC47"/>
      <c r="COE47" s="110"/>
      <c r="COG47"/>
      <c r="COI47" s="110"/>
      <c r="COK47"/>
      <c r="COM47" s="110"/>
      <c r="COO47"/>
      <c r="COQ47" s="110"/>
      <c r="COS47"/>
      <c r="COU47" s="110"/>
      <c r="COW47"/>
      <c r="COY47" s="110"/>
      <c r="CPA47"/>
      <c r="CPC47" s="110"/>
      <c r="CPE47"/>
      <c r="CPG47" s="110"/>
      <c r="CPI47"/>
      <c r="CPK47" s="110"/>
      <c r="CPM47"/>
      <c r="CPO47" s="110"/>
      <c r="CPQ47"/>
      <c r="CPS47" s="110"/>
      <c r="CPU47"/>
      <c r="CPW47" s="110"/>
      <c r="CPY47"/>
      <c r="CQA47" s="110"/>
      <c r="CQC47"/>
      <c r="CQE47" s="110"/>
      <c r="CQG47"/>
      <c r="CQI47" s="110"/>
      <c r="CQK47"/>
      <c r="CQM47" s="110"/>
      <c r="CQO47"/>
      <c r="CQQ47" s="110"/>
      <c r="CQS47"/>
      <c r="CQU47" s="110"/>
      <c r="CQW47"/>
      <c r="CQY47" s="110"/>
      <c r="CRA47"/>
      <c r="CRC47" s="110"/>
      <c r="CRE47"/>
      <c r="CRG47" s="110"/>
      <c r="CRI47"/>
      <c r="CRK47" s="110"/>
      <c r="CRM47"/>
      <c r="CRO47" s="110"/>
      <c r="CRQ47"/>
      <c r="CRS47" s="110"/>
      <c r="CRU47"/>
      <c r="CRW47" s="110"/>
      <c r="CRY47"/>
      <c r="CSA47" s="110"/>
      <c r="CSC47"/>
      <c r="CSE47" s="110"/>
      <c r="CSG47"/>
      <c r="CSI47" s="110"/>
      <c r="CSK47"/>
      <c r="CSM47" s="110"/>
      <c r="CSO47"/>
      <c r="CSQ47" s="110"/>
      <c r="CSS47"/>
      <c r="CSU47" s="110"/>
      <c r="CSW47"/>
      <c r="CSY47" s="110"/>
      <c r="CTA47"/>
      <c r="CTC47" s="110"/>
      <c r="CTE47"/>
      <c r="CTG47" s="110"/>
      <c r="CTI47"/>
      <c r="CTK47" s="110"/>
      <c r="CTM47"/>
      <c r="CTO47" s="110"/>
      <c r="CTQ47"/>
      <c r="CTS47" s="110"/>
      <c r="CTU47"/>
      <c r="CTW47" s="110"/>
      <c r="CTY47"/>
      <c r="CUA47" s="110"/>
      <c r="CUC47"/>
      <c r="CUE47" s="110"/>
      <c r="CUG47"/>
      <c r="CUI47" s="110"/>
      <c r="CUK47"/>
      <c r="CUM47" s="110"/>
      <c r="CUO47"/>
      <c r="CUQ47" s="110"/>
      <c r="CUS47"/>
      <c r="CUU47" s="110"/>
      <c r="CUW47"/>
      <c r="CUY47" s="110"/>
      <c r="CVA47"/>
      <c r="CVC47" s="110"/>
      <c r="CVE47"/>
      <c r="CVG47" s="110"/>
      <c r="CVI47"/>
      <c r="CVK47" s="110"/>
      <c r="CVM47"/>
      <c r="CVO47" s="110"/>
      <c r="CVQ47"/>
      <c r="CVS47" s="110"/>
      <c r="CVU47"/>
      <c r="CVW47" s="110"/>
      <c r="CVY47"/>
      <c r="CWA47" s="110"/>
      <c r="CWC47"/>
      <c r="CWE47" s="110"/>
      <c r="CWG47"/>
      <c r="CWI47" s="110"/>
      <c r="CWK47"/>
      <c r="CWM47" s="110"/>
      <c r="CWO47"/>
      <c r="CWQ47" s="110"/>
      <c r="CWS47"/>
      <c r="CWU47" s="110"/>
      <c r="CWW47"/>
      <c r="CWY47" s="110"/>
      <c r="CXA47"/>
      <c r="CXC47" s="110"/>
      <c r="CXE47"/>
      <c r="CXG47" s="110"/>
      <c r="CXI47"/>
      <c r="CXK47" s="110"/>
      <c r="CXM47"/>
      <c r="CXO47" s="110"/>
      <c r="CXQ47"/>
      <c r="CXS47" s="110"/>
      <c r="CXU47"/>
      <c r="CXW47" s="110"/>
      <c r="CXY47"/>
      <c r="CYA47" s="110"/>
      <c r="CYC47"/>
      <c r="CYE47" s="110"/>
      <c r="CYG47"/>
      <c r="CYI47" s="110"/>
      <c r="CYK47"/>
      <c r="CYM47" s="110"/>
      <c r="CYO47"/>
      <c r="CYQ47" s="110"/>
      <c r="CYS47"/>
      <c r="CYU47" s="110"/>
      <c r="CYW47"/>
      <c r="CYY47" s="110"/>
      <c r="CZA47"/>
      <c r="CZC47" s="110"/>
      <c r="CZE47"/>
      <c r="CZG47" s="110"/>
      <c r="CZI47"/>
      <c r="CZK47" s="110"/>
      <c r="CZM47"/>
      <c r="CZO47" s="110"/>
      <c r="CZQ47"/>
      <c r="CZS47" s="110"/>
      <c r="CZU47"/>
      <c r="CZW47" s="110"/>
      <c r="CZY47"/>
      <c r="DAA47" s="110"/>
      <c r="DAC47"/>
      <c r="DAE47" s="110"/>
      <c r="DAG47"/>
      <c r="DAI47" s="110"/>
      <c r="DAK47"/>
      <c r="DAM47" s="110"/>
      <c r="DAO47"/>
      <c r="DAQ47" s="110"/>
      <c r="DAS47"/>
      <c r="DAU47" s="110"/>
      <c r="DAW47"/>
      <c r="DAY47" s="110"/>
      <c r="DBA47"/>
      <c r="DBC47" s="110"/>
      <c r="DBE47"/>
      <c r="DBG47" s="110"/>
      <c r="DBI47"/>
      <c r="DBK47" s="110"/>
      <c r="DBM47"/>
      <c r="DBO47" s="110"/>
      <c r="DBQ47"/>
      <c r="DBS47" s="110"/>
      <c r="DBU47"/>
      <c r="DBW47" s="110"/>
      <c r="DBY47"/>
      <c r="DCA47" s="110"/>
      <c r="DCC47"/>
      <c r="DCE47" s="110"/>
      <c r="DCG47"/>
      <c r="DCI47" s="110"/>
      <c r="DCK47"/>
      <c r="DCM47" s="110"/>
      <c r="DCO47"/>
      <c r="DCQ47" s="110"/>
      <c r="DCS47"/>
      <c r="DCU47" s="110"/>
      <c r="DCW47"/>
      <c r="DCY47" s="110"/>
      <c r="DDA47"/>
      <c r="DDC47" s="110"/>
      <c r="DDE47"/>
      <c r="DDG47" s="110"/>
      <c r="DDI47"/>
      <c r="DDK47" s="110"/>
      <c r="DDM47"/>
      <c r="DDO47" s="110"/>
      <c r="DDQ47"/>
      <c r="DDS47" s="110"/>
      <c r="DDU47"/>
      <c r="DDW47" s="110"/>
      <c r="DDY47"/>
      <c r="DEA47" s="110"/>
      <c r="DEC47"/>
      <c r="DEE47" s="110"/>
      <c r="DEG47"/>
      <c r="DEI47" s="110"/>
      <c r="DEK47"/>
      <c r="DEM47" s="110"/>
      <c r="DEO47"/>
      <c r="DEQ47" s="110"/>
      <c r="DES47"/>
      <c r="DEU47" s="110"/>
      <c r="DEW47"/>
      <c r="DEY47" s="110"/>
      <c r="DFA47"/>
      <c r="DFC47" s="110"/>
      <c r="DFE47"/>
      <c r="DFG47" s="110"/>
      <c r="DFI47"/>
      <c r="DFK47" s="110"/>
      <c r="DFM47"/>
      <c r="DFO47" s="110"/>
      <c r="DFQ47"/>
      <c r="DFS47" s="110"/>
      <c r="DFU47"/>
      <c r="DFW47" s="110"/>
      <c r="DFY47"/>
      <c r="DGA47" s="110"/>
      <c r="DGC47"/>
      <c r="DGE47" s="110"/>
      <c r="DGG47"/>
      <c r="DGI47" s="110"/>
      <c r="DGK47"/>
      <c r="DGM47" s="110"/>
      <c r="DGO47"/>
      <c r="DGQ47" s="110"/>
      <c r="DGS47"/>
      <c r="DGU47" s="110"/>
      <c r="DGW47"/>
      <c r="DGY47" s="110"/>
      <c r="DHA47"/>
      <c r="DHC47" s="110"/>
      <c r="DHE47"/>
      <c r="DHG47" s="110"/>
      <c r="DHI47"/>
      <c r="DHK47" s="110"/>
      <c r="DHM47"/>
      <c r="DHO47" s="110"/>
      <c r="DHQ47"/>
      <c r="DHS47" s="110"/>
      <c r="DHU47"/>
      <c r="DHW47" s="110"/>
      <c r="DHY47"/>
      <c r="DIA47" s="110"/>
      <c r="DIC47"/>
      <c r="DIE47" s="110"/>
      <c r="DIG47"/>
      <c r="DII47" s="110"/>
      <c r="DIK47"/>
      <c r="DIM47" s="110"/>
      <c r="DIO47"/>
      <c r="DIQ47" s="110"/>
      <c r="DIS47"/>
      <c r="DIU47" s="110"/>
      <c r="DIW47"/>
      <c r="DIY47" s="110"/>
      <c r="DJA47"/>
      <c r="DJC47" s="110"/>
      <c r="DJE47"/>
      <c r="DJG47" s="110"/>
      <c r="DJI47"/>
      <c r="DJK47" s="110"/>
      <c r="DJM47"/>
      <c r="DJO47" s="110"/>
      <c r="DJQ47"/>
      <c r="DJS47" s="110"/>
      <c r="DJU47"/>
      <c r="DJW47" s="110"/>
      <c r="DJY47"/>
      <c r="DKA47" s="110"/>
      <c r="DKC47"/>
      <c r="DKE47" s="110"/>
      <c r="DKG47"/>
      <c r="DKI47" s="110"/>
      <c r="DKK47"/>
      <c r="DKM47" s="110"/>
      <c r="DKO47"/>
      <c r="DKQ47" s="110"/>
      <c r="DKS47"/>
      <c r="DKU47" s="110"/>
      <c r="DKW47"/>
      <c r="DKY47" s="110"/>
      <c r="DLA47"/>
      <c r="DLC47" s="110"/>
      <c r="DLE47"/>
      <c r="DLG47" s="110"/>
      <c r="DLI47"/>
      <c r="DLK47" s="110"/>
      <c r="DLM47"/>
      <c r="DLO47" s="110"/>
      <c r="DLQ47"/>
      <c r="DLS47" s="110"/>
      <c r="DLU47"/>
      <c r="DLW47" s="110"/>
      <c r="DLY47"/>
      <c r="DMA47" s="110"/>
      <c r="DMC47"/>
      <c r="DME47" s="110"/>
      <c r="DMG47"/>
      <c r="DMI47" s="110"/>
      <c r="DMK47"/>
      <c r="DMM47" s="110"/>
      <c r="DMO47"/>
      <c r="DMQ47" s="110"/>
      <c r="DMS47"/>
      <c r="DMU47" s="110"/>
      <c r="DMW47"/>
      <c r="DMY47" s="110"/>
      <c r="DNA47"/>
      <c r="DNC47" s="110"/>
      <c r="DNE47"/>
      <c r="DNG47" s="110"/>
      <c r="DNI47"/>
      <c r="DNK47" s="110"/>
      <c r="DNM47"/>
      <c r="DNO47" s="110"/>
      <c r="DNQ47"/>
      <c r="DNS47" s="110"/>
      <c r="DNU47"/>
      <c r="DNW47" s="110"/>
      <c r="DNY47"/>
      <c r="DOA47" s="110"/>
      <c r="DOC47"/>
      <c r="DOE47" s="110"/>
      <c r="DOG47"/>
      <c r="DOI47" s="110"/>
      <c r="DOK47"/>
      <c r="DOM47" s="110"/>
      <c r="DOO47"/>
      <c r="DOQ47" s="110"/>
      <c r="DOS47"/>
      <c r="DOU47" s="110"/>
      <c r="DOW47"/>
      <c r="DOY47" s="110"/>
      <c r="DPA47"/>
      <c r="DPC47" s="110"/>
      <c r="DPE47"/>
      <c r="DPG47" s="110"/>
      <c r="DPI47"/>
      <c r="DPK47" s="110"/>
      <c r="DPM47"/>
      <c r="DPO47" s="110"/>
      <c r="DPQ47"/>
      <c r="DPS47" s="110"/>
      <c r="DPU47"/>
      <c r="DPW47" s="110"/>
      <c r="DPY47"/>
      <c r="DQA47" s="110"/>
      <c r="DQC47"/>
      <c r="DQE47" s="110"/>
      <c r="DQG47"/>
      <c r="DQI47" s="110"/>
      <c r="DQK47"/>
      <c r="DQM47" s="110"/>
      <c r="DQO47"/>
      <c r="DQQ47" s="110"/>
      <c r="DQS47"/>
      <c r="DQU47" s="110"/>
      <c r="DQW47"/>
      <c r="DQY47" s="110"/>
      <c r="DRA47"/>
      <c r="DRC47" s="110"/>
      <c r="DRE47"/>
      <c r="DRG47" s="110"/>
      <c r="DRI47"/>
      <c r="DRK47" s="110"/>
      <c r="DRM47"/>
      <c r="DRO47" s="110"/>
      <c r="DRQ47"/>
      <c r="DRS47" s="110"/>
      <c r="DRU47"/>
      <c r="DRW47" s="110"/>
      <c r="DRY47"/>
      <c r="DSA47" s="110"/>
      <c r="DSC47"/>
      <c r="DSE47" s="110"/>
      <c r="DSG47"/>
      <c r="DSI47" s="110"/>
      <c r="DSK47"/>
      <c r="DSM47" s="110"/>
      <c r="DSO47"/>
      <c r="DSQ47" s="110"/>
      <c r="DSS47"/>
      <c r="DSU47" s="110"/>
      <c r="DSW47"/>
      <c r="DSY47" s="110"/>
      <c r="DTA47"/>
      <c r="DTC47" s="110"/>
      <c r="DTE47"/>
      <c r="DTG47" s="110"/>
      <c r="DTI47"/>
      <c r="DTK47" s="110"/>
      <c r="DTM47"/>
      <c r="DTO47" s="110"/>
      <c r="DTQ47"/>
      <c r="DTS47" s="110"/>
      <c r="DTU47"/>
      <c r="DTW47" s="110"/>
      <c r="DTY47"/>
      <c r="DUA47" s="110"/>
      <c r="DUC47"/>
      <c r="DUE47" s="110"/>
      <c r="DUG47"/>
      <c r="DUI47" s="110"/>
      <c r="DUK47"/>
      <c r="DUM47" s="110"/>
      <c r="DUO47"/>
      <c r="DUQ47" s="110"/>
      <c r="DUS47"/>
      <c r="DUU47" s="110"/>
      <c r="DUW47"/>
      <c r="DUY47" s="110"/>
      <c r="DVA47"/>
      <c r="DVC47" s="110"/>
      <c r="DVE47"/>
      <c r="DVG47" s="110"/>
      <c r="DVI47"/>
      <c r="DVK47" s="110"/>
      <c r="DVM47"/>
      <c r="DVO47" s="110"/>
      <c r="DVQ47"/>
      <c r="DVS47" s="110"/>
      <c r="DVU47"/>
      <c r="DVW47" s="110"/>
      <c r="DVY47"/>
      <c r="DWA47" s="110"/>
      <c r="DWC47"/>
      <c r="DWE47" s="110"/>
      <c r="DWG47"/>
      <c r="DWI47" s="110"/>
      <c r="DWK47"/>
      <c r="DWM47" s="110"/>
      <c r="DWO47"/>
      <c r="DWQ47" s="110"/>
      <c r="DWS47"/>
      <c r="DWU47" s="110"/>
      <c r="DWW47"/>
      <c r="DWY47" s="110"/>
      <c r="DXA47"/>
      <c r="DXC47" s="110"/>
      <c r="DXE47"/>
      <c r="DXG47" s="110"/>
      <c r="DXI47"/>
      <c r="DXK47" s="110"/>
      <c r="DXM47"/>
      <c r="DXO47" s="110"/>
      <c r="DXQ47"/>
      <c r="DXS47" s="110"/>
      <c r="DXU47"/>
      <c r="DXW47" s="110"/>
      <c r="DXY47"/>
      <c r="DYA47" s="110"/>
      <c r="DYC47"/>
      <c r="DYE47" s="110"/>
      <c r="DYG47"/>
      <c r="DYI47" s="110"/>
      <c r="DYK47"/>
      <c r="DYM47" s="110"/>
      <c r="DYO47"/>
      <c r="DYQ47" s="110"/>
      <c r="DYS47"/>
      <c r="DYU47" s="110"/>
      <c r="DYW47"/>
      <c r="DYY47" s="110"/>
      <c r="DZA47"/>
      <c r="DZC47" s="110"/>
      <c r="DZE47"/>
      <c r="DZG47" s="110"/>
      <c r="DZI47"/>
      <c r="DZK47" s="110"/>
      <c r="DZM47"/>
      <c r="DZO47" s="110"/>
      <c r="DZQ47"/>
      <c r="DZS47" s="110"/>
      <c r="DZU47"/>
      <c r="DZW47" s="110"/>
      <c r="DZY47"/>
      <c r="EAA47" s="110"/>
      <c r="EAC47"/>
      <c r="EAE47" s="110"/>
      <c r="EAG47"/>
      <c r="EAI47" s="110"/>
      <c r="EAK47"/>
      <c r="EAM47" s="110"/>
      <c r="EAO47"/>
      <c r="EAQ47" s="110"/>
      <c r="EAS47"/>
      <c r="EAU47" s="110"/>
      <c r="EAW47"/>
      <c r="EAY47" s="110"/>
      <c r="EBA47"/>
      <c r="EBC47" s="110"/>
      <c r="EBE47"/>
      <c r="EBG47" s="110"/>
      <c r="EBI47"/>
      <c r="EBK47" s="110"/>
      <c r="EBM47"/>
      <c r="EBO47" s="110"/>
      <c r="EBQ47"/>
      <c r="EBS47" s="110"/>
      <c r="EBU47"/>
      <c r="EBW47" s="110"/>
      <c r="EBY47"/>
      <c r="ECA47" s="110"/>
      <c r="ECC47"/>
      <c r="ECE47" s="110"/>
      <c r="ECG47"/>
      <c r="ECI47" s="110"/>
      <c r="ECK47"/>
      <c r="ECM47" s="110"/>
      <c r="ECO47"/>
      <c r="ECQ47" s="110"/>
      <c r="ECS47"/>
      <c r="ECU47" s="110"/>
      <c r="ECW47"/>
      <c r="ECY47" s="110"/>
      <c r="EDA47"/>
      <c r="EDC47" s="110"/>
      <c r="EDE47"/>
      <c r="EDG47" s="110"/>
      <c r="EDI47"/>
      <c r="EDK47" s="110"/>
      <c r="EDM47"/>
      <c r="EDO47" s="110"/>
      <c r="EDQ47"/>
      <c r="EDS47" s="110"/>
      <c r="EDU47"/>
      <c r="EDW47" s="110"/>
      <c r="EDY47"/>
      <c r="EEA47" s="110"/>
      <c r="EEC47"/>
      <c r="EEE47" s="110"/>
      <c r="EEG47"/>
      <c r="EEI47" s="110"/>
      <c r="EEK47"/>
      <c r="EEM47" s="110"/>
      <c r="EEO47"/>
      <c r="EEQ47" s="110"/>
      <c r="EES47"/>
      <c r="EEU47" s="110"/>
      <c r="EEW47"/>
      <c r="EEY47" s="110"/>
      <c r="EFA47"/>
      <c r="EFC47" s="110"/>
      <c r="EFE47"/>
      <c r="EFG47" s="110"/>
      <c r="EFI47"/>
      <c r="EFK47" s="110"/>
      <c r="EFM47"/>
      <c r="EFO47" s="110"/>
      <c r="EFQ47"/>
      <c r="EFS47" s="110"/>
      <c r="EFU47"/>
      <c r="EFW47" s="110"/>
      <c r="EFY47"/>
      <c r="EGA47" s="110"/>
      <c r="EGC47"/>
      <c r="EGE47" s="110"/>
      <c r="EGG47"/>
      <c r="EGI47" s="110"/>
      <c r="EGK47"/>
      <c r="EGM47" s="110"/>
      <c r="EGO47"/>
      <c r="EGQ47" s="110"/>
      <c r="EGS47"/>
      <c r="EGU47" s="110"/>
      <c r="EGW47"/>
      <c r="EGY47" s="110"/>
      <c r="EHA47"/>
      <c r="EHC47" s="110"/>
      <c r="EHE47"/>
      <c r="EHG47" s="110"/>
      <c r="EHI47"/>
      <c r="EHK47" s="110"/>
      <c r="EHM47"/>
      <c r="EHO47" s="110"/>
      <c r="EHQ47"/>
      <c r="EHS47" s="110"/>
      <c r="EHU47"/>
      <c r="EHW47" s="110"/>
      <c r="EHY47"/>
      <c r="EIA47" s="110"/>
      <c r="EIC47"/>
      <c r="EIE47" s="110"/>
      <c r="EIG47"/>
      <c r="EII47" s="110"/>
      <c r="EIK47"/>
      <c r="EIM47" s="110"/>
      <c r="EIO47"/>
      <c r="EIQ47" s="110"/>
      <c r="EIS47"/>
      <c r="EIU47" s="110"/>
      <c r="EIW47"/>
      <c r="EIY47" s="110"/>
      <c r="EJA47"/>
      <c r="EJC47" s="110"/>
      <c r="EJE47"/>
      <c r="EJG47" s="110"/>
      <c r="EJI47"/>
      <c r="EJK47" s="110"/>
      <c r="EJM47"/>
      <c r="EJO47" s="110"/>
      <c r="EJQ47"/>
      <c r="EJS47" s="110"/>
      <c r="EJU47"/>
      <c r="EJW47" s="110"/>
      <c r="EJY47"/>
      <c r="EKA47" s="110"/>
      <c r="EKC47"/>
      <c r="EKE47" s="110"/>
      <c r="EKG47"/>
      <c r="EKI47" s="110"/>
      <c r="EKK47"/>
      <c r="EKM47" s="110"/>
      <c r="EKO47"/>
      <c r="EKQ47" s="110"/>
      <c r="EKS47"/>
      <c r="EKU47" s="110"/>
      <c r="EKW47"/>
      <c r="EKY47" s="110"/>
      <c r="ELA47"/>
      <c r="ELC47" s="110"/>
      <c r="ELE47"/>
      <c r="ELG47" s="110"/>
      <c r="ELI47"/>
      <c r="ELK47" s="110"/>
      <c r="ELM47"/>
      <c r="ELO47" s="110"/>
      <c r="ELQ47"/>
      <c r="ELS47" s="110"/>
      <c r="ELU47"/>
      <c r="ELW47" s="110"/>
      <c r="ELY47"/>
      <c r="EMA47" s="110"/>
      <c r="EMC47"/>
      <c r="EME47" s="110"/>
      <c r="EMG47"/>
      <c r="EMI47" s="110"/>
      <c r="EMK47"/>
      <c r="EMM47" s="110"/>
      <c r="EMO47"/>
      <c r="EMQ47" s="110"/>
      <c r="EMS47"/>
      <c r="EMU47" s="110"/>
      <c r="EMW47"/>
      <c r="EMY47" s="110"/>
      <c r="ENA47"/>
      <c r="ENC47" s="110"/>
      <c r="ENE47"/>
      <c r="ENG47" s="110"/>
      <c r="ENI47"/>
      <c r="ENK47" s="110"/>
      <c r="ENM47"/>
      <c r="ENO47" s="110"/>
      <c r="ENQ47"/>
      <c r="ENS47" s="110"/>
      <c r="ENU47"/>
      <c r="ENW47" s="110"/>
      <c r="ENY47"/>
      <c r="EOA47" s="110"/>
      <c r="EOC47"/>
      <c r="EOE47" s="110"/>
      <c r="EOG47"/>
      <c r="EOI47" s="110"/>
      <c r="EOK47"/>
      <c r="EOM47" s="110"/>
      <c r="EOO47"/>
      <c r="EOQ47" s="110"/>
      <c r="EOS47"/>
      <c r="EOU47" s="110"/>
      <c r="EOW47"/>
      <c r="EOY47" s="110"/>
      <c r="EPA47"/>
      <c r="EPC47" s="110"/>
      <c r="EPE47"/>
      <c r="EPG47" s="110"/>
      <c r="EPI47"/>
      <c r="EPK47" s="110"/>
      <c r="EPM47"/>
      <c r="EPO47" s="110"/>
      <c r="EPQ47"/>
      <c r="EPS47" s="110"/>
      <c r="EPU47"/>
      <c r="EPW47" s="110"/>
      <c r="EPY47"/>
      <c r="EQA47" s="110"/>
      <c r="EQC47"/>
      <c r="EQE47" s="110"/>
      <c r="EQG47"/>
      <c r="EQI47" s="110"/>
      <c r="EQK47"/>
      <c r="EQM47" s="110"/>
      <c r="EQO47"/>
      <c r="EQQ47" s="110"/>
      <c r="EQS47"/>
      <c r="EQU47" s="110"/>
      <c r="EQW47"/>
      <c r="EQY47" s="110"/>
      <c r="ERA47"/>
      <c r="ERC47" s="110"/>
      <c r="ERE47"/>
      <c r="ERG47" s="110"/>
      <c r="ERI47"/>
      <c r="ERK47" s="110"/>
      <c r="ERM47"/>
      <c r="ERO47" s="110"/>
      <c r="ERQ47"/>
      <c r="ERS47" s="110"/>
      <c r="ERU47"/>
      <c r="ERW47" s="110"/>
      <c r="ERY47"/>
      <c r="ESA47" s="110"/>
      <c r="ESC47"/>
      <c r="ESE47" s="110"/>
      <c r="ESG47"/>
      <c r="ESI47" s="110"/>
      <c r="ESK47"/>
      <c r="ESM47" s="110"/>
      <c r="ESO47"/>
      <c r="ESQ47" s="110"/>
      <c r="ESS47"/>
      <c r="ESU47" s="110"/>
      <c r="ESW47"/>
      <c r="ESY47" s="110"/>
      <c r="ETA47"/>
      <c r="ETC47" s="110"/>
      <c r="ETE47"/>
      <c r="ETG47" s="110"/>
      <c r="ETI47"/>
      <c r="ETK47" s="110"/>
      <c r="ETM47"/>
      <c r="ETO47" s="110"/>
      <c r="ETQ47"/>
      <c r="ETS47" s="110"/>
      <c r="ETU47"/>
      <c r="ETW47" s="110"/>
      <c r="ETY47"/>
      <c r="EUA47" s="110"/>
      <c r="EUC47"/>
      <c r="EUE47" s="110"/>
      <c r="EUG47"/>
      <c r="EUI47" s="110"/>
      <c r="EUK47"/>
      <c r="EUM47" s="110"/>
      <c r="EUO47"/>
      <c r="EUQ47" s="110"/>
      <c r="EUS47"/>
      <c r="EUU47" s="110"/>
      <c r="EUW47"/>
      <c r="EUY47" s="110"/>
      <c r="EVA47"/>
      <c r="EVC47" s="110"/>
      <c r="EVE47"/>
      <c r="EVG47" s="110"/>
      <c r="EVI47"/>
      <c r="EVK47" s="110"/>
      <c r="EVM47"/>
      <c r="EVO47" s="110"/>
      <c r="EVQ47"/>
      <c r="EVS47" s="110"/>
      <c r="EVU47"/>
      <c r="EVW47" s="110"/>
      <c r="EVY47"/>
      <c r="EWA47" s="110"/>
      <c r="EWC47"/>
      <c r="EWE47" s="110"/>
      <c r="EWG47"/>
      <c r="EWI47" s="110"/>
      <c r="EWK47"/>
      <c r="EWM47" s="110"/>
      <c r="EWO47"/>
      <c r="EWQ47" s="110"/>
      <c r="EWS47"/>
      <c r="EWU47" s="110"/>
      <c r="EWW47"/>
      <c r="EWY47" s="110"/>
      <c r="EXA47"/>
      <c r="EXC47" s="110"/>
      <c r="EXE47"/>
      <c r="EXG47" s="110"/>
      <c r="EXI47"/>
      <c r="EXK47" s="110"/>
      <c r="EXM47"/>
      <c r="EXO47" s="110"/>
      <c r="EXQ47"/>
      <c r="EXS47" s="110"/>
      <c r="EXU47"/>
      <c r="EXW47" s="110"/>
      <c r="EXY47"/>
      <c r="EYA47" s="110"/>
      <c r="EYC47"/>
      <c r="EYE47" s="110"/>
      <c r="EYG47"/>
      <c r="EYI47" s="110"/>
      <c r="EYK47"/>
      <c r="EYM47" s="110"/>
      <c r="EYO47"/>
      <c r="EYQ47" s="110"/>
      <c r="EYS47"/>
      <c r="EYU47" s="110"/>
      <c r="EYW47"/>
      <c r="EYY47" s="110"/>
      <c r="EZA47"/>
      <c r="EZC47" s="110"/>
      <c r="EZE47"/>
      <c r="EZG47" s="110"/>
      <c r="EZI47"/>
      <c r="EZK47" s="110"/>
      <c r="EZM47"/>
      <c r="EZO47" s="110"/>
      <c r="EZQ47"/>
      <c r="EZS47" s="110"/>
      <c r="EZU47"/>
      <c r="EZW47" s="110"/>
      <c r="EZY47"/>
      <c r="FAA47" s="110"/>
      <c r="FAC47"/>
      <c r="FAE47" s="110"/>
      <c r="FAG47"/>
      <c r="FAI47" s="110"/>
      <c r="FAK47"/>
      <c r="FAM47" s="110"/>
      <c r="FAO47"/>
      <c r="FAQ47" s="110"/>
      <c r="FAS47"/>
      <c r="FAU47" s="110"/>
      <c r="FAW47"/>
      <c r="FAY47" s="110"/>
      <c r="FBA47"/>
      <c r="FBC47" s="110"/>
      <c r="FBE47"/>
      <c r="FBG47" s="110"/>
      <c r="FBI47"/>
      <c r="FBK47" s="110"/>
      <c r="FBM47"/>
      <c r="FBO47" s="110"/>
      <c r="FBQ47"/>
      <c r="FBS47" s="110"/>
      <c r="FBU47"/>
      <c r="FBW47" s="110"/>
      <c r="FBY47"/>
      <c r="FCA47" s="110"/>
      <c r="FCC47"/>
      <c r="FCE47" s="110"/>
      <c r="FCG47"/>
      <c r="FCI47" s="110"/>
      <c r="FCK47"/>
      <c r="FCM47" s="110"/>
      <c r="FCO47"/>
      <c r="FCQ47" s="110"/>
      <c r="FCS47"/>
      <c r="FCU47" s="110"/>
      <c r="FCW47"/>
      <c r="FCY47" s="110"/>
      <c r="FDA47"/>
      <c r="FDC47" s="110"/>
      <c r="FDE47"/>
      <c r="FDG47" s="110"/>
      <c r="FDI47"/>
      <c r="FDK47" s="110"/>
      <c r="FDM47"/>
      <c r="FDO47" s="110"/>
      <c r="FDQ47"/>
      <c r="FDS47" s="110"/>
      <c r="FDU47"/>
      <c r="FDW47" s="110"/>
      <c r="FDY47"/>
      <c r="FEA47" s="110"/>
      <c r="FEC47"/>
      <c r="FEE47" s="110"/>
      <c r="FEG47"/>
      <c r="FEI47" s="110"/>
      <c r="FEK47"/>
      <c r="FEM47" s="110"/>
      <c r="FEO47"/>
      <c r="FEQ47" s="110"/>
      <c r="FES47"/>
      <c r="FEU47" s="110"/>
      <c r="FEW47"/>
      <c r="FEY47" s="110"/>
      <c r="FFA47"/>
      <c r="FFC47" s="110"/>
      <c r="FFE47"/>
      <c r="FFG47" s="110"/>
      <c r="FFI47"/>
      <c r="FFK47" s="110"/>
      <c r="FFM47"/>
      <c r="FFO47" s="110"/>
      <c r="FFQ47"/>
      <c r="FFS47" s="110"/>
      <c r="FFU47"/>
      <c r="FFW47" s="110"/>
      <c r="FFY47"/>
      <c r="FGA47" s="110"/>
      <c r="FGC47"/>
      <c r="FGE47" s="110"/>
      <c r="FGG47"/>
      <c r="FGI47" s="110"/>
      <c r="FGK47"/>
      <c r="FGM47" s="110"/>
      <c r="FGO47"/>
      <c r="FGQ47" s="110"/>
      <c r="FGS47"/>
      <c r="FGU47" s="110"/>
      <c r="FGW47"/>
      <c r="FGY47" s="110"/>
      <c r="FHA47"/>
      <c r="FHC47" s="110"/>
      <c r="FHE47"/>
      <c r="FHG47" s="110"/>
      <c r="FHI47"/>
      <c r="FHK47" s="110"/>
      <c r="FHM47"/>
      <c r="FHO47" s="110"/>
      <c r="FHQ47"/>
      <c r="FHS47" s="110"/>
      <c r="FHU47"/>
      <c r="FHW47" s="110"/>
      <c r="FHY47"/>
      <c r="FIA47" s="110"/>
      <c r="FIC47"/>
      <c r="FIE47" s="110"/>
      <c r="FIG47"/>
      <c r="FII47" s="110"/>
      <c r="FIK47"/>
      <c r="FIM47" s="110"/>
      <c r="FIO47"/>
      <c r="FIQ47" s="110"/>
      <c r="FIS47"/>
      <c r="FIU47" s="110"/>
      <c r="FIW47"/>
      <c r="FIY47" s="110"/>
      <c r="FJA47"/>
      <c r="FJC47" s="110"/>
      <c r="FJE47"/>
      <c r="FJG47" s="110"/>
      <c r="FJI47"/>
      <c r="FJK47" s="110"/>
      <c r="FJM47"/>
      <c r="FJO47" s="110"/>
      <c r="FJQ47"/>
      <c r="FJS47" s="110"/>
      <c r="FJU47"/>
      <c r="FJW47" s="110"/>
      <c r="FJY47"/>
      <c r="FKA47" s="110"/>
      <c r="FKC47"/>
      <c r="FKE47" s="110"/>
      <c r="FKG47"/>
      <c r="FKI47" s="110"/>
      <c r="FKK47"/>
      <c r="FKM47" s="110"/>
      <c r="FKO47"/>
      <c r="FKQ47" s="110"/>
      <c r="FKS47"/>
      <c r="FKU47" s="110"/>
      <c r="FKW47"/>
      <c r="FKY47" s="110"/>
      <c r="FLA47"/>
      <c r="FLC47" s="110"/>
      <c r="FLE47"/>
      <c r="FLG47" s="110"/>
      <c r="FLI47"/>
      <c r="FLK47" s="110"/>
      <c r="FLM47"/>
      <c r="FLO47" s="110"/>
      <c r="FLQ47"/>
      <c r="FLS47" s="110"/>
      <c r="FLU47"/>
      <c r="FLW47" s="110"/>
      <c r="FLY47"/>
      <c r="FMA47" s="110"/>
      <c r="FMC47"/>
      <c r="FME47" s="110"/>
      <c r="FMG47"/>
      <c r="FMI47" s="110"/>
      <c r="FMK47"/>
      <c r="FMM47" s="110"/>
      <c r="FMO47"/>
      <c r="FMQ47" s="110"/>
      <c r="FMS47"/>
      <c r="FMU47" s="110"/>
      <c r="FMW47"/>
      <c r="FMY47" s="110"/>
      <c r="FNA47"/>
      <c r="FNC47" s="110"/>
      <c r="FNE47"/>
      <c r="FNG47" s="110"/>
      <c r="FNI47"/>
      <c r="FNK47" s="110"/>
      <c r="FNM47"/>
      <c r="FNO47" s="110"/>
      <c r="FNQ47"/>
      <c r="FNS47" s="110"/>
      <c r="FNU47"/>
      <c r="FNW47" s="110"/>
      <c r="FNY47"/>
      <c r="FOA47" s="110"/>
      <c r="FOC47"/>
      <c r="FOE47" s="110"/>
      <c r="FOG47"/>
      <c r="FOI47" s="110"/>
      <c r="FOK47"/>
      <c r="FOM47" s="110"/>
      <c r="FOO47"/>
      <c r="FOQ47" s="110"/>
      <c r="FOS47"/>
      <c r="FOU47" s="110"/>
      <c r="FOW47"/>
      <c r="FOY47" s="110"/>
      <c r="FPA47"/>
      <c r="FPC47" s="110"/>
      <c r="FPE47"/>
      <c r="FPG47" s="110"/>
      <c r="FPI47"/>
      <c r="FPK47" s="110"/>
      <c r="FPM47"/>
      <c r="FPO47" s="110"/>
      <c r="FPQ47"/>
      <c r="FPS47" s="110"/>
      <c r="FPU47"/>
      <c r="FPW47" s="110"/>
      <c r="FPY47"/>
      <c r="FQA47" s="110"/>
      <c r="FQC47"/>
      <c r="FQE47" s="110"/>
      <c r="FQG47"/>
      <c r="FQI47" s="110"/>
      <c r="FQK47"/>
      <c r="FQM47" s="110"/>
      <c r="FQO47"/>
      <c r="FQQ47" s="110"/>
      <c r="FQS47"/>
      <c r="FQU47" s="110"/>
      <c r="FQW47"/>
      <c r="FQY47" s="110"/>
      <c r="FRA47"/>
      <c r="FRC47" s="110"/>
      <c r="FRE47"/>
      <c r="FRG47" s="110"/>
      <c r="FRI47"/>
      <c r="FRK47" s="110"/>
      <c r="FRM47"/>
      <c r="FRO47" s="110"/>
      <c r="FRQ47"/>
      <c r="FRS47" s="110"/>
      <c r="FRU47"/>
      <c r="FRW47" s="110"/>
      <c r="FRY47"/>
      <c r="FSA47" s="110"/>
      <c r="FSC47"/>
      <c r="FSE47" s="110"/>
      <c r="FSG47"/>
      <c r="FSI47" s="110"/>
      <c r="FSK47"/>
      <c r="FSM47" s="110"/>
      <c r="FSO47"/>
      <c r="FSQ47" s="110"/>
      <c r="FSS47"/>
      <c r="FSU47" s="110"/>
      <c r="FSW47"/>
      <c r="FSY47" s="110"/>
      <c r="FTA47"/>
      <c r="FTC47" s="110"/>
      <c r="FTE47"/>
      <c r="FTG47" s="110"/>
      <c r="FTI47"/>
      <c r="FTK47" s="110"/>
      <c r="FTM47"/>
      <c r="FTO47" s="110"/>
      <c r="FTQ47"/>
      <c r="FTS47" s="110"/>
      <c r="FTU47"/>
      <c r="FTW47" s="110"/>
      <c r="FTY47"/>
      <c r="FUA47" s="110"/>
      <c r="FUC47"/>
      <c r="FUE47" s="110"/>
      <c r="FUG47"/>
      <c r="FUI47" s="110"/>
      <c r="FUK47"/>
      <c r="FUM47" s="110"/>
      <c r="FUO47"/>
      <c r="FUQ47" s="110"/>
      <c r="FUS47"/>
      <c r="FUU47" s="110"/>
      <c r="FUW47"/>
      <c r="FUY47" s="110"/>
      <c r="FVA47"/>
      <c r="FVC47" s="110"/>
      <c r="FVE47"/>
      <c r="FVG47" s="110"/>
      <c r="FVI47"/>
      <c r="FVK47" s="110"/>
      <c r="FVM47"/>
      <c r="FVO47" s="110"/>
      <c r="FVQ47"/>
      <c r="FVS47" s="110"/>
      <c r="FVU47"/>
      <c r="FVW47" s="110"/>
      <c r="FVY47"/>
      <c r="FWA47" s="110"/>
      <c r="FWC47"/>
      <c r="FWE47" s="110"/>
      <c r="FWG47"/>
      <c r="FWI47" s="110"/>
      <c r="FWK47"/>
      <c r="FWM47" s="110"/>
      <c r="FWO47"/>
      <c r="FWQ47" s="110"/>
      <c r="FWS47"/>
      <c r="FWU47" s="110"/>
      <c r="FWW47"/>
      <c r="FWY47" s="110"/>
      <c r="FXA47"/>
      <c r="FXC47" s="110"/>
      <c r="FXE47"/>
      <c r="FXG47" s="110"/>
      <c r="FXI47"/>
      <c r="FXK47" s="110"/>
      <c r="FXM47"/>
      <c r="FXO47" s="110"/>
      <c r="FXQ47"/>
      <c r="FXS47" s="110"/>
      <c r="FXU47"/>
      <c r="FXW47" s="110"/>
      <c r="FXY47"/>
      <c r="FYA47" s="110"/>
      <c r="FYC47"/>
      <c r="FYE47" s="110"/>
      <c r="FYG47"/>
      <c r="FYI47" s="110"/>
      <c r="FYK47"/>
      <c r="FYM47" s="110"/>
      <c r="FYO47"/>
      <c r="FYQ47" s="110"/>
      <c r="FYS47"/>
      <c r="FYU47" s="110"/>
      <c r="FYW47"/>
      <c r="FYY47" s="110"/>
      <c r="FZA47"/>
      <c r="FZC47" s="110"/>
      <c r="FZE47"/>
      <c r="FZG47" s="110"/>
      <c r="FZI47"/>
      <c r="FZK47" s="110"/>
      <c r="FZM47"/>
      <c r="FZO47" s="110"/>
      <c r="FZQ47"/>
      <c r="FZS47" s="110"/>
      <c r="FZU47"/>
      <c r="FZW47" s="110"/>
      <c r="FZY47"/>
      <c r="GAA47" s="110"/>
      <c r="GAC47"/>
      <c r="GAE47" s="110"/>
      <c r="GAG47"/>
      <c r="GAI47" s="110"/>
      <c r="GAK47"/>
      <c r="GAM47" s="110"/>
      <c r="GAO47"/>
      <c r="GAQ47" s="110"/>
      <c r="GAS47"/>
      <c r="GAU47" s="110"/>
      <c r="GAW47"/>
      <c r="GAY47" s="110"/>
      <c r="GBA47"/>
      <c r="GBC47" s="110"/>
      <c r="GBE47"/>
      <c r="GBG47" s="110"/>
      <c r="GBI47"/>
      <c r="GBK47" s="110"/>
      <c r="GBM47"/>
      <c r="GBO47" s="110"/>
      <c r="GBQ47"/>
      <c r="GBS47" s="110"/>
      <c r="GBU47"/>
      <c r="GBW47" s="110"/>
      <c r="GBY47"/>
      <c r="GCA47" s="110"/>
      <c r="GCC47"/>
      <c r="GCE47" s="110"/>
      <c r="GCG47"/>
      <c r="GCI47" s="110"/>
      <c r="GCK47"/>
      <c r="GCM47" s="110"/>
      <c r="GCO47"/>
      <c r="GCQ47" s="110"/>
      <c r="GCS47"/>
      <c r="GCU47" s="110"/>
      <c r="GCW47"/>
      <c r="GCY47" s="110"/>
      <c r="GDA47"/>
      <c r="GDC47" s="110"/>
      <c r="GDE47"/>
      <c r="GDG47" s="110"/>
      <c r="GDI47"/>
      <c r="GDK47" s="110"/>
      <c r="GDM47"/>
      <c r="GDO47" s="110"/>
      <c r="GDQ47"/>
      <c r="GDS47" s="110"/>
      <c r="GDU47"/>
      <c r="GDW47" s="110"/>
      <c r="GDY47"/>
      <c r="GEA47" s="110"/>
      <c r="GEC47"/>
      <c r="GEE47" s="110"/>
      <c r="GEG47"/>
      <c r="GEI47" s="110"/>
      <c r="GEK47"/>
      <c r="GEM47" s="110"/>
      <c r="GEO47"/>
      <c r="GEQ47" s="110"/>
      <c r="GES47"/>
      <c r="GEU47" s="110"/>
      <c r="GEW47"/>
      <c r="GEY47" s="110"/>
      <c r="GFA47"/>
      <c r="GFC47" s="110"/>
      <c r="GFE47"/>
      <c r="GFG47" s="110"/>
      <c r="GFI47"/>
      <c r="GFK47" s="110"/>
      <c r="GFM47"/>
      <c r="GFO47" s="110"/>
      <c r="GFQ47"/>
      <c r="GFS47" s="110"/>
      <c r="GFU47"/>
      <c r="GFW47" s="110"/>
      <c r="GFY47"/>
      <c r="GGA47" s="110"/>
      <c r="GGC47"/>
      <c r="GGE47" s="110"/>
      <c r="GGG47"/>
      <c r="GGI47" s="110"/>
      <c r="GGK47"/>
      <c r="GGM47" s="110"/>
      <c r="GGO47"/>
      <c r="GGQ47" s="110"/>
      <c r="GGS47"/>
      <c r="GGU47" s="110"/>
      <c r="GGW47"/>
      <c r="GGY47" s="110"/>
      <c r="GHA47"/>
      <c r="GHC47" s="110"/>
      <c r="GHE47"/>
      <c r="GHG47" s="110"/>
      <c r="GHI47"/>
      <c r="GHK47" s="110"/>
      <c r="GHM47"/>
      <c r="GHO47" s="110"/>
      <c r="GHQ47"/>
      <c r="GHS47" s="110"/>
      <c r="GHU47"/>
      <c r="GHW47" s="110"/>
      <c r="GHY47"/>
      <c r="GIA47" s="110"/>
      <c r="GIC47"/>
      <c r="GIE47" s="110"/>
      <c r="GIG47"/>
      <c r="GII47" s="110"/>
      <c r="GIK47"/>
      <c r="GIM47" s="110"/>
      <c r="GIO47"/>
      <c r="GIQ47" s="110"/>
      <c r="GIS47"/>
      <c r="GIU47" s="110"/>
      <c r="GIW47"/>
      <c r="GIY47" s="110"/>
      <c r="GJA47"/>
      <c r="GJC47" s="110"/>
      <c r="GJE47"/>
      <c r="GJG47" s="110"/>
      <c r="GJI47"/>
      <c r="GJK47" s="110"/>
      <c r="GJM47"/>
      <c r="GJO47" s="110"/>
      <c r="GJQ47"/>
      <c r="GJS47" s="110"/>
      <c r="GJU47"/>
      <c r="GJW47" s="110"/>
      <c r="GJY47"/>
      <c r="GKA47" s="110"/>
      <c r="GKC47"/>
      <c r="GKE47" s="110"/>
      <c r="GKG47"/>
      <c r="GKI47" s="110"/>
      <c r="GKK47"/>
      <c r="GKM47" s="110"/>
      <c r="GKO47"/>
      <c r="GKQ47" s="110"/>
      <c r="GKS47"/>
      <c r="GKU47" s="110"/>
      <c r="GKW47"/>
      <c r="GKY47" s="110"/>
      <c r="GLA47"/>
      <c r="GLC47" s="110"/>
      <c r="GLE47"/>
      <c r="GLG47" s="110"/>
      <c r="GLI47"/>
      <c r="GLK47" s="110"/>
      <c r="GLM47"/>
      <c r="GLO47" s="110"/>
      <c r="GLQ47"/>
      <c r="GLS47" s="110"/>
      <c r="GLU47"/>
      <c r="GLW47" s="110"/>
      <c r="GLY47"/>
      <c r="GMA47" s="110"/>
      <c r="GMC47"/>
      <c r="GME47" s="110"/>
      <c r="GMG47"/>
      <c r="GMI47" s="110"/>
      <c r="GMK47"/>
      <c r="GMM47" s="110"/>
      <c r="GMO47"/>
      <c r="GMQ47" s="110"/>
      <c r="GMS47"/>
      <c r="GMU47" s="110"/>
      <c r="GMW47"/>
      <c r="GMY47" s="110"/>
      <c r="GNA47"/>
      <c r="GNC47" s="110"/>
      <c r="GNE47"/>
      <c r="GNG47" s="110"/>
      <c r="GNI47"/>
      <c r="GNK47" s="110"/>
      <c r="GNM47"/>
      <c r="GNO47" s="110"/>
      <c r="GNQ47"/>
      <c r="GNS47" s="110"/>
      <c r="GNU47"/>
      <c r="GNW47" s="110"/>
      <c r="GNY47"/>
      <c r="GOA47" s="110"/>
      <c r="GOC47"/>
      <c r="GOE47" s="110"/>
      <c r="GOG47"/>
      <c r="GOI47" s="110"/>
      <c r="GOK47"/>
      <c r="GOM47" s="110"/>
      <c r="GOO47"/>
      <c r="GOQ47" s="110"/>
      <c r="GOS47"/>
      <c r="GOU47" s="110"/>
      <c r="GOW47"/>
      <c r="GOY47" s="110"/>
      <c r="GPA47"/>
      <c r="GPC47" s="110"/>
      <c r="GPE47"/>
      <c r="GPG47" s="110"/>
      <c r="GPI47"/>
      <c r="GPK47" s="110"/>
      <c r="GPM47"/>
      <c r="GPO47" s="110"/>
      <c r="GPQ47"/>
      <c r="GPS47" s="110"/>
      <c r="GPU47"/>
      <c r="GPW47" s="110"/>
      <c r="GPY47"/>
      <c r="GQA47" s="110"/>
      <c r="GQC47"/>
      <c r="GQE47" s="110"/>
      <c r="GQG47"/>
      <c r="GQI47" s="110"/>
      <c r="GQK47"/>
      <c r="GQM47" s="110"/>
      <c r="GQO47"/>
      <c r="GQQ47" s="110"/>
      <c r="GQS47"/>
      <c r="GQU47" s="110"/>
      <c r="GQW47"/>
      <c r="GQY47" s="110"/>
      <c r="GRA47"/>
      <c r="GRC47" s="110"/>
      <c r="GRE47"/>
      <c r="GRG47" s="110"/>
      <c r="GRI47"/>
      <c r="GRK47" s="110"/>
      <c r="GRM47"/>
      <c r="GRO47" s="110"/>
      <c r="GRQ47"/>
      <c r="GRS47" s="110"/>
      <c r="GRU47"/>
      <c r="GRW47" s="110"/>
      <c r="GRY47"/>
      <c r="GSA47" s="110"/>
      <c r="GSC47"/>
      <c r="GSE47" s="110"/>
      <c r="GSG47"/>
      <c r="GSI47" s="110"/>
      <c r="GSK47"/>
      <c r="GSM47" s="110"/>
      <c r="GSO47"/>
      <c r="GSQ47" s="110"/>
      <c r="GSS47"/>
      <c r="GSU47" s="110"/>
      <c r="GSW47"/>
      <c r="GSY47" s="110"/>
      <c r="GTA47"/>
      <c r="GTC47" s="110"/>
      <c r="GTE47"/>
      <c r="GTG47" s="110"/>
      <c r="GTI47"/>
      <c r="GTK47" s="110"/>
      <c r="GTM47"/>
      <c r="GTO47" s="110"/>
      <c r="GTQ47"/>
      <c r="GTS47" s="110"/>
      <c r="GTU47"/>
      <c r="GTW47" s="110"/>
      <c r="GTY47"/>
      <c r="GUA47" s="110"/>
      <c r="GUC47"/>
      <c r="GUE47" s="110"/>
      <c r="GUG47"/>
      <c r="GUI47" s="110"/>
      <c r="GUK47"/>
      <c r="GUM47" s="110"/>
      <c r="GUO47"/>
      <c r="GUQ47" s="110"/>
      <c r="GUS47"/>
      <c r="GUU47" s="110"/>
      <c r="GUW47"/>
      <c r="GUY47" s="110"/>
      <c r="GVA47"/>
      <c r="GVC47" s="110"/>
      <c r="GVE47"/>
      <c r="GVG47" s="110"/>
      <c r="GVI47"/>
      <c r="GVK47" s="110"/>
      <c r="GVM47"/>
      <c r="GVO47" s="110"/>
      <c r="GVQ47"/>
      <c r="GVS47" s="110"/>
      <c r="GVU47"/>
      <c r="GVW47" s="110"/>
      <c r="GVY47"/>
      <c r="GWA47" s="110"/>
      <c r="GWC47"/>
      <c r="GWE47" s="110"/>
      <c r="GWG47"/>
      <c r="GWI47" s="110"/>
      <c r="GWK47"/>
      <c r="GWM47" s="110"/>
      <c r="GWO47"/>
      <c r="GWQ47" s="110"/>
      <c r="GWS47"/>
      <c r="GWU47" s="110"/>
      <c r="GWW47"/>
      <c r="GWY47" s="110"/>
      <c r="GXA47"/>
      <c r="GXC47" s="110"/>
      <c r="GXE47"/>
      <c r="GXG47" s="110"/>
      <c r="GXI47"/>
      <c r="GXK47" s="110"/>
      <c r="GXM47"/>
      <c r="GXO47" s="110"/>
      <c r="GXQ47"/>
      <c r="GXS47" s="110"/>
      <c r="GXU47"/>
      <c r="GXW47" s="110"/>
      <c r="GXY47"/>
      <c r="GYA47" s="110"/>
      <c r="GYC47"/>
      <c r="GYE47" s="110"/>
      <c r="GYG47"/>
      <c r="GYI47" s="110"/>
      <c r="GYK47"/>
      <c r="GYM47" s="110"/>
      <c r="GYO47"/>
      <c r="GYQ47" s="110"/>
      <c r="GYS47"/>
      <c r="GYU47" s="110"/>
      <c r="GYW47"/>
      <c r="GYY47" s="110"/>
      <c r="GZA47"/>
      <c r="GZC47" s="110"/>
      <c r="GZE47"/>
      <c r="GZG47" s="110"/>
      <c r="GZI47"/>
      <c r="GZK47" s="110"/>
      <c r="GZM47"/>
      <c r="GZO47" s="110"/>
      <c r="GZQ47"/>
      <c r="GZS47" s="110"/>
      <c r="GZU47"/>
      <c r="GZW47" s="110"/>
      <c r="GZY47"/>
      <c r="HAA47" s="110"/>
      <c r="HAC47"/>
      <c r="HAE47" s="110"/>
      <c r="HAG47"/>
      <c r="HAI47" s="110"/>
      <c r="HAK47"/>
      <c r="HAM47" s="110"/>
      <c r="HAO47"/>
      <c r="HAQ47" s="110"/>
      <c r="HAS47"/>
      <c r="HAU47" s="110"/>
      <c r="HAW47"/>
      <c r="HAY47" s="110"/>
      <c r="HBA47"/>
      <c r="HBC47" s="110"/>
      <c r="HBE47"/>
      <c r="HBG47" s="110"/>
      <c r="HBI47"/>
      <c r="HBK47" s="110"/>
      <c r="HBM47"/>
      <c r="HBO47" s="110"/>
      <c r="HBQ47"/>
      <c r="HBS47" s="110"/>
      <c r="HBU47"/>
      <c r="HBW47" s="110"/>
      <c r="HBY47"/>
      <c r="HCA47" s="110"/>
      <c r="HCC47"/>
      <c r="HCE47" s="110"/>
      <c r="HCG47"/>
      <c r="HCI47" s="110"/>
      <c r="HCK47"/>
      <c r="HCM47" s="110"/>
      <c r="HCO47"/>
      <c r="HCQ47" s="110"/>
      <c r="HCS47"/>
      <c r="HCU47" s="110"/>
      <c r="HCW47"/>
      <c r="HCY47" s="110"/>
      <c r="HDA47"/>
      <c r="HDC47" s="110"/>
      <c r="HDE47"/>
      <c r="HDG47" s="110"/>
      <c r="HDI47"/>
      <c r="HDK47" s="110"/>
      <c r="HDM47"/>
      <c r="HDO47" s="110"/>
      <c r="HDQ47"/>
      <c r="HDS47" s="110"/>
      <c r="HDU47"/>
      <c r="HDW47" s="110"/>
      <c r="HDY47"/>
      <c r="HEA47" s="110"/>
      <c r="HEC47"/>
      <c r="HEE47" s="110"/>
      <c r="HEG47"/>
      <c r="HEI47" s="110"/>
      <c r="HEK47"/>
      <c r="HEM47" s="110"/>
      <c r="HEO47"/>
      <c r="HEQ47" s="110"/>
      <c r="HES47"/>
      <c r="HEU47" s="110"/>
      <c r="HEW47"/>
      <c r="HEY47" s="110"/>
      <c r="HFA47"/>
      <c r="HFC47" s="110"/>
      <c r="HFE47"/>
      <c r="HFG47" s="110"/>
      <c r="HFI47"/>
      <c r="HFK47" s="110"/>
      <c r="HFM47"/>
      <c r="HFO47" s="110"/>
      <c r="HFQ47"/>
      <c r="HFS47" s="110"/>
      <c r="HFU47"/>
      <c r="HFW47" s="110"/>
      <c r="HFY47"/>
      <c r="HGA47" s="110"/>
      <c r="HGC47"/>
      <c r="HGE47" s="110"/>
      <c r="HGG47"/>
      <c r="HGI47" s="110"/>
      <c r="HGK47"/>
      <c r="HGM47" s="110"/>
      <c r="HGO47"/>
      <c r="HGQ47" s="110"/>
      <c r="HGS47"/>
      <c r="HGU47" s="110"/>
      <c r="HGW47"/>
      <c r="HGY47" s="110"/>
      <c r="HHA47"/>
      <c r="HHC47" s="110"/>
      <c r="HHE47"/>
      <c r="HHG47" s="110"/>
      <c r="HHI47"/>
      <c r="HHK47" s="110"/>
      <c r="HHM47"/>
      <c r="HHO47" s="110"/>
      <c r="HHQ47"/>
      <c r="HHS47" s="110"/>
      <c r="HHU47"/>
      <c r="HHW47" s="110"/>
      <c r="HHY47"/>
      <c r="HIA47" s="110"/>
      <c r="HIC47"/>
      <c r="HIE47" s="110"/>
      <c r="HIG47"/>
      <c r="HII47" s="110"/>
      <c r="HIK47"/>
      <c r="HIM47" s="110"/>
      <c r="HIO47"/>
      <c r="HIQ47" s="110"/>
      <c r="HIS47"/>
      <c r="HIU47" s="110"/>
      <c r="HIW47"/>
      <c r="HIY47" s="110"/>
      <c r="HJA47"/>
      <c r="HJC47" s="110"/>
      <c r="HJE47"/>
      <c r="HJG47" s="110"/>
      <c r="HJI47"/>
      <c r="HJK47" s="110"/>
      <c r="HJM47"/>
      <c r="HJO47" s="110"/>
      <c r="HJQ47"/>
      <c r="HJS47" s="110"/>
      <c r="HJU47"/>
      <c r="HJW47" s="110"/>
      <c r="HJY47"/>
      <c r="HKA47" s="110"/>
      <c r="HKC47"/>
      <c r="HKE47" s="110"/>
      <c r="HKG47"/>
      <c r="HKI47" s="110"/>
      <c r="HKK47"/>
      <c r="HKM47" s="110"/>
      <c r="HKO47"/>
      <c r="HKQ47" s="110"/>
      <c r="HKS47"/>
      <c r="HKU47" s="110"/>
      <c r="HKW47"/>
      <c r="HKY47" s="110"/>
      <c r="HLA47"/>
      <c r="HLC47" s="110"/>
      <c r="HLE47"/>
      <c r="HLG47" s="110"/>
      <c r="HLI47"/>
      <c r="HLK47" s="110"/>
      <c r="HLM47"/>
      <c r="HLO47" s="110"/>
      <c r="HLQ47"/>
      <c r="HLS47" s="110"/>
      <c r="HLU47"/>
      <c r="HLW47" s="110"/>
      <c r="HLY47"/>
      <c r="HMA47" s="110"/>
      <c r="HMC47"/>
      <c r="HME47" s="110"/>
      <c r="HMG47"/>
      <c r="HMI47" s="110"/>
      <c r="HMK47"/>
      <c r="HMM47" s="110"/>
      <c r="HMO47"/>
      <c r="HMQ47" s="110"/>
      <c r="HMS47"/>
      <c r="HMU47" s="110"/>
      <c r="HMW47"/>
      <c r="HMY47" s="110"/>
      <c r="HNA47"/>
      <c r="HNC47" s="110"/>
      <c r="HNE47"/>
      <c r="HNG47" s="110"/>
      <c r="HNI47"/>
      <c r="HNK47" s="110"/>
      <c r="HNM47"/>
      <c r="HNO47" s="110"/>
      <c r="HNQ47"/>
      <c r="HNS47" s="110"/>
      <c r="HNU47"/>
      <c r="HNW47" s="110"/>
      <c r="HNY47"/>
      <c r="HOA47" s="110"/>
      <c r="HOC47"/>
      <c r="HOE47" s="110"/>
      <c r="HOG47"/>
      <c r="HOI47" s="110"/>
      <c r="HOK47"/>
      <c r="HOM47" s="110"/>
      <c r="HOO47"/>
      <c r="HOQ47" s="110"/>
      <c r="HOS47"/>
      <c r="HOU47" s="110"/>
      <c r="HOW47"/>
      <c r="HOY47" s="110"/>
      <c r="HPA47"/>
      <c r="HPC47" s="110"/>
      <c r="HPE47"/>
      <c r="HPG47" s="110"/>
      <c r="HPI47"/>
      <c r="HPK47" s="110"/>
      <c r="HPM47"/>
      <c r="HPO47" s="110"/>
      <c r="HPQ47"/>
      <c r="HPS47" s="110"/>
      <c r="HPU47"/>
      <c r="HPW47" s="110"/>
      <c r="HPY47"/>
      <c r="HQA47" s="110"/>
      <c r="HQC47"/>
      <c r="HQE47" s="110"/>
      <c r="HQG47"/>
      <c r="HQI47" s="110"/>
      <c r="HQK47"/>
      <c r="HQM47" s="110"/>
      <c r="HQO47"/>
      <c r="HQQ47" s="110"/>
      <c r="HQS47"/>
      <c r="HQU47" s="110"/>
      <c r="HQW47"/>
      <c r="HQY47" s="110"/>
      <c r="HRA47"/>
      <c r="HRC47" s="110"/>
      <c r="HRE47"/>
      <c r="HRG47" s="110"/>
      <c r="HRI47"/>
      <c r="HRK47" s="110"/>
      <c r="HRM47"/>
      <c r="HRO47" s="110"/>
      <c r="HRQ47"/>
      <c r="HRS47" s="110"/>
      <c r="HRU47"/>
      <c r="HRW47" s="110"/>
      <c r="HRY47"/>
      <c r="HSA47" s="110"/>
      <c r="HSC47"/>
      <c r="HSE47" s="110"/>
      <c r="HSG47"/>
      <c r="HSI47" s="110"/>
      <c r="HSK47"/>
      <c r="HSM47" s="110"/>
      <c r="HSO47"/>
      <c r="HSQ47" s="110"/>
      <c r="HSS47"/>
      <c r="HSU47" s="110"/>
      <c r="HSW47"/>
      <c r="HSY47" s="110"/>
      <c r="HTA47"/>
      <c r="HTC47" s="110"/>
      <c r="HTE47"/>
      <c r="HTG47" s="110"/>
      <c r="HTI47"/>
      <c r="HTK47" s="110"/>
      <c r="HTM47"/>
      <c r="HTO47" s="110"/>
      <c r="HTQ47"/>
      <c r="HTS47" s="110"/>
      <c r="HTU47"/>
      <c r="HTW47" s="110"/>
      <c r="HTY47"/>
      <c r="HUA47" s="110"/>
      <c r="HUC47"/>
      <c r="HUE47" s="110"/>
      <c r="HUG47"/>
      <c r="HUI47" s="110"/>
      <c r="HUK47"/>
      <c r="HUM47" s="110"/>
      <c r="HUO47"/>
      <c r="HUQ47" s="110"/>
      <c r="HUS47"/>
      <c r="HUU47" s="110"/>
      <c r="HUW47"/>
      <c r="HUY47" s="110"/>
      <c r="HVA47"/>
      <c r="HVC47" s="110"/>
      <c r="HVE47"/>
      <c r="HVG47" s="110"/>
      <c r="HVI47"/>
      <c r="HVK47" s="110"/>
      <c r="HVM47"/>
      <c r="HVO47" s="110"/>
      <c r="HVQ47"/>
      <c r="HVS47" s="110"/>
      <c r="HVU47"/>
      <c r="HVW47" s="110"/>
      <c r="HVY47"/>
      <c r="HWA47" s="110"/>
      <c r="HWC47"/>
      <c r="HWE47" s="110"/>
      <c r="HWG47"/>
      <c r="HWI47" s="110"/>
      <c r="HWK47"/>
      <c r="HWM47" s="110"/>
      <c r="HWO47"/>
      <c r="HWQ47" s="110"/>
      <c r="HWS47"/>
      <c r="HWU47" s="110"/>
      <c r="HWW47"/>
      <c r="HWY47" s="110"/>
      <c r="HXA47"/>
      <c r="HXC47" s="110"/>
      <c r="HXE47"/>
      <c r="HXG47" s="110"/>
      <c r="HXI47"/>
      <c r="HXK47" s="110"/>
      <c r="HXM47"/>
      <c r="HXO47" s="110"/>
      <c r="HXQ47"/>
      <c r="HXS47" s="110"/>
      <c r="HXU47"/>
      <c r="HXW47" s="110"/>
      <c r="HXY47"/>
      <c r="HYA47" s="110"/>
      <c r="HYC47"/>
      <c r="HYE47" s="110"/>
      <c r="HYG47"/>
      <c r="HYI47" s="110"/>
      <c r="HYK47"/>
      <c r="HYM47" s="110"/>
      <c r="HYO47"/>
      <c r="HYQ47" s="110"/>
      <c r="HYS47"/>
      <c r="HYU47" s="110"/>
      <c r="HYW47"/>
      <c r="HYY47" s="110"/>
      <c r="HZA47"/>
      <c r="HZC47" s="110"/>
      <c r="HZE47"/>
      <c r="HZG47" s="110"/>
      <c r="HZI47"/>
      <c r="HZK47" s="110"/>
      <c r="HZM47"/>
      <c r="HZO47" s="110"/>
      <c r="HZQ47"/>
      <c r="HZS47" s="110"/>
      <c r="HZU47"/>
      <c r="HZW47" s="110"/>
      <c r="HZY47"/>
      <c r="IAA47" s="110"/>
      <c r="IAC47"/>
      <c r="IAE47" s="110"/>
      <c r="IAG47"/>
      <c r="IAI47" s="110"/>
      <c r="IAK47"/>
      <c r="IAM47" s="110"/>
      <c r="IAO47"/>
      <c r="IAQ47" s="110"/>
      <c r="IAS47"/>
      <c r="IAU47" s="110"/>
      <c r="IAW47"/>
      <c r="IAY47" s="110"/>
      <c r="IBA47"/>
      <c r="IBC47" s="110"/>
      <c r="IBE47"/>
      <c r="IBG47" s="110"/>
      <c r="IBI47"/>
      <c r="IBK47" s="110"/>
      <c r="IBM47"/>
      <c r="IBO47" s="110"/>
      <c r="IBQ47"/>
      <c r="IBS47" s="110"/>
      <c r="IBU47"/>
      <c r="IBW47" s="110"/>
      <c r="IBY47"/>
      <c r="ICA47" s="110"/>
      <c r="ICC47"/>
      <c r="ICE47" s="110"/>
      <c r="ICG47"/>
      <c r="ICI47" s="110"/>
      <c r="ICK47"/>
      <c r="ICM47" s="110"/>
      <c r="ICO47"/>
      <c r="ICQ47" s="110"/>
      <c r="ICS47"/>
      <c r="ICU47" s="110"/>
      <c r="ICW47"/>
      <c r="ICY47" s="110"/>
      <c r="IDA47"/>
      <c r="IDC47" s="110"/>
      <c r="IDE47"/>
      <c r="IDG47" s="110"/>
      <c r="IDI47"/>
      <c r="IDK47" s="110"/>
      <c r="IDM47"/>
      <c r="IDO47" s="110"/>
      <c r="IDQ47"/>
      <c r="IDS47" s="110"/>
      <c r="IDU47"/>
      <c r="IDW47" s="110"/>
      <c r="IDY47"/>
      <c r="IEA47" s="110"/>
      <c r="IEC47"/>
      <c r="IEE47" s="110"/>
      <c r="IEG47"/>
      <c r="IEI47" s="110"/>
      <c r="IEK47"/>
      <c r="IEM47" s="110"/>
      <c r="IEO47"/>
      <c r="IEQ47" s="110"/>
      <c r="IES47"/>
      <c r="IEU47" s="110"/>
      <c r="IEW47"/>
      <c r="IEY47" s="110"/>
      <c r="IFA47"/>
      <c r="IFC47" s="110"/>
      <c r="IFE47"/>
      <c r="IFG47" s="110"/>
      <c r="IFI47"/>
      <c r="IFK47" s="110"/>
      <c r="IFM47"/>
      <c r="IFO47" s="110"/>
      <c r="IFQ47"/>
      <c r="IFS47" s="110"/>
      <c r="IFU47"/>
      <c r="IFW47" s="110"/>
      <c r="IFY47"/>
      <c r="IGA47" s="110"/>
      <c r="IGC47"/>
      <c r="IGE47" s="110"/>
      <c r="IGG47"/>
      <c r="IGI47" s="110"/>
      <c r="IGK47"/>
      <c r="IGM47" s="110"/>
      <c r="IGO47"/>
      <c r="IGQ47" s="110"/>
      <c r="IGS47"/>
      <c r="IGU47" s="110"/>
      <c r="IGW47"/>
      <c r="IGY47" s="110"/>
      <c r="IHA47"/>
      <c r="IHC47" s="110"/>
      <c r="IHE47"/>
      <c r="IHG47" s="110"/>
      <c r="IHI47"/>
      <c r="IHK47" s="110"/>
      <c r="IHM47"/>
      <c r="IHO47" s="110"/>
      <c r="IHQ47"/>
      <c r="IHS47" s="110"/>
      <c r="IHU47"/>
      <c r="IHW47" s="110"/>
      <c r="IHY47"/>
      <c r="IIA47" s="110"/>
      <c r="IIC47"/>
      <c r="IIE47" s="110"/>
      <c r="IIG47"/>
      <c r="III47" s="110"/>
      <c r="IIK47"/>
      <c r="IIM47" s="110"/>
      <c r="IIO47"/>
      <c r="IIQ47" s="110"/>
      <c r="IIS47"/>
      <c r="IIU47" s="110"/>
      <c r="IIW47"/>
      <c r="IIY47" s="110"/>
      <c r="IJA47"/>
      <c r="IJC47" s="110"/>
      <c r="IJE47"/>
      <c r="IJG47" s="110"/>
      <c r="IJI47"/>
      <c r="IJK47" s="110"/>
      <c r="IJM47"/>
      <c r="IJO47" s="110"/>
      <c r="IJQ47"/>
      <c r="IJS47" s="110"/>
      <c r="IJU47"/>
      <c r="IJW47" s="110"/>
      <c r="IJY47"/>
      <c r="IKA47" s="110"/>
      <c r="IKC47"/>
      <c r="IKE47" s="110"/>
      <c r="IKG47"/>
      <c r="IKI47" s="110"/>
      <c r="IKK47"/>
      <c r="IKM47" s="110"/>
      <c r="IKO47"/>
      <c r="IKQ47" s="110"/>
      <c r="IKS47"/>
      <c r="IKU47" s="110"/>
      <c r="IKW47"/>
      <c r="IKY47" s="110"/>
      <c r="ILA47"/>
      <c r="ILC47" s="110"/>
      <c r="ILE47"/>
      <c r="ILG47" s="110"/>
      <c r="ILI47"/>
      <c r="ILK47" s="110"/>
      <c r="ILM47"/>
      <c r="ILO47" s="110"/>
      <c r="ILQ47"/>
      <c r="ILS47" s="110"/>
      <c r="ILU47"/>
      <c r="ILW47" s="110"/>
      <c r="ILY47"/>
      <c r="IMA47" s="110"/>
      <c r="IMC47"/>
      <c r="IME47" s="110"/>
      <c r="IMG47"/>
      <c r="IMI47" s="110"/>
      <c r="IMK47"/>
      <c r="IMM47" s="110"/>
      <c r="IMO47"/>
      <c r="IMQ47" s="110"/>
      <c r="IMS47"/>
      <c r="IMU47" s="110"/>
      <c r="IMW47"/>
      <c r="IMY47" s="110"/>
      <c r="INA47"/>
      <c r="INC47" s="110"/>
      <c r="INE47"/>
      <c r="ING47" s="110"/>
      <c r="INI47"/>
      <c r="INK47" s="110"/>
      <c r="INM47"/>
      <c r="INO47" s="110"/>
      <c r="INQ47"/>
      <c r="INS47" s="110"/>
      <c r="INU47"/>
      <c r="INW47" s="110"/>
      <c r="INY47"/>
      <c r="IOA47" s="110"/>
      <c r="IOC47"/>
      <c r="IOE47" s="110"/>
      <c r="IOG47"/>
      <c r="IOI47" s="110"/>
      <c r="IOK47"/>
      <c r="IOM47" s="110"/>
      <c r="IOO47"/>
      <c r="IOQ47" s="110"/>
      <c r="IOS47"/>
      <c r="IOU47" s="110"/>
      <c r="IOW47"/>
      <c r="IOY47" s="110"/>
      <c r="IPA47"/>
      <c r="IPC47" s="110"/>
      <c r="IPE47"/>
      <c r="IPG47" s="110"/>
      <c r="IPI47"/>
      <c r="IPK47" s="110"/>
      <c r="IPM47"/>
      <c r="IPO47" s="110"/>
      <c r="IPQ47"/>
      <c r="IPS47" s="110"/>
      <c r="IPU47"/>
      <c r="IPW47" s="110"/>
      <c r="IPY47"/>
      <c r="IQA47" s="110"/>
      <c r="IQC47"/>
      <c r="IQE47" s="110"/>
      <c r="IQG47"/>
      <c r="IQI47" s="110"/>
      <c r="IQK47"/>
      <c r="IQM47" s="110"/>
      <c r="IQO47"/>
      <c r="IQQ47" s="110"/>
      <c r="IQS47"/>
      <c r="IQU47" s="110"/>
      <c r="IQW47"/>
      <c r="IQY47" s="110"/>
      <c r="IRA47"/>
      <c r="IRC47" s="110"/>
      <c r="IRE47"/>
      <c r="IRG47" s="110"/>
      <c r="IRI47"/>
      <c r="IRK47" s="110"/>
      <c r="IRM47"/>
      <c r="IRO47" s="110"/>
      <c r="IRQ47"/>
      <c r="IRS47" s="110"/>
      <c r="IRU47"/>
      <c r="IRW47" s="110"/>
      <c r="IRY47"/>
      <c r="ISA47" s="110"/>
      <c r="ISC47"/>
      <c r="ISE47" s="110"/>
      <c r="ISG47"/>
      <c r="ISI47" s="110"/>
      <c r="ISK47"/>
      <c r="ISM47" s="110"/>
      <c r="ISO47"/>
      <c r="ISQ47" s="110"/>
      <c r="ISS47"/>
      <c r="ISU47" s="110"/>
      <c r="ISW47"/>
      <c r="ISY47" s="110"/>
      <c r="ITA47"/>
      <c r="ITC47" s="110"/>
      <c r="ITE47"/>
      <c r="ITG47" s="110"/>
      <c r="ITI47"/>
      <c r="ITK47" s="110"/>
      <c r="ITM47"/>
      <c r="ITO47" s="110"/>
      <c r="ITQ47"/>
      <c r="ITS47" s="110"/>
      <c r="ITU47"/>
      <c r="ITW47" s="110"/>
      <c r="ITY47"/>
      <c r="IUA47" s="110"/>
      <c r="IUC47"/>
      <c r="IUE47" s="110"/>
      <c r="IUG47"/>
      <c r="IUI47" s="110"/>
      <c r="IUK47"/>
      <c r="IUM47" s="110"/>
      <c r="IUO47"/>
      <c r="IUQ47" s="110"/>
      <c r="IUS47"/>
      <c r="IUU47" s="110"/>
      <c r="IUW47"/>
      <c r="IUY47" s="110"/>
      <c r="IVA47"/>
      <c r="IVC47" s="110"/>
      <c r="IVE47"/>
      <c r="IVG47" s="110"/>
      <c r="IVI47"/>
      <c r="IVK47" s="110"/>
      <c r="IVM47"/>
      <c r="IVO47" s="110"/>
      <c r="IVQ47"/>
      <c r="IVS47" s="110"/>
      <c r="IVU47"/>
      <c r="IVW47" s="110"/>
      <c r="IVY47"/>
      <c r="IWA47" s="110"/>
      <c r="IWC47"/>
      <c r="IWE47" s="110"/>
      <c r="IWG47"/>
      <c r="IWI47" s="110"/>
      <c r="IWK47"/>
      <c r="IWM47" s="110"/>
      <c r="IWO47"/>
      <c r="IWQ47" s="110"/>
      <c r="IWS47"/>
      <c r="IWU47" s="110"/>
      <c r="IWW47"/>
      <c r="IWY47" s="110"/>
      <c r="IXA47"/>
      <c r="IXC47" s="110"/>
      <c r="IXE47"/>
      <c r="IXG47" s="110"/>
      <c r="IXI47"/>
      <c r="IXK47" s="110"/>
      <c r="IXM47"/>
      <c r="IXO47" s="110"/>
      <c r="IXQ47"/>
      <c r="IXS47" s="110"/>
      <c r="IXU47"/>
      <c r="IXW47" s="110"/>
      <c r="IXY47"/>
      <c r="IYA47" s="110"/>
      <c r="IYC47"/>
      <c r="IYE47" s="110"/>
      <c r="IYG47"/>
      <c r="IYI47" s="110"/>
      <c r="IYK47"/>
      <c r="IYM47" s="110"/>
      <c r="IYO47"/>
      <c r="IYQ47" s="110"/>
      <c r="IYS47"/>
      <c r="IYU47" s="110"/>
      <c r="IYW47"/>
      <c r="IYY47" s="110"/>
      <c r="IZA47"/>
      <c r="IZC47" s="110"/>
      <c r="IZE47"/>
      <c r="IZG47" s="110"/>
      <c r="IZI47"/>
      <c r="IZK47" s="110"/>
      <c r="IZM47"/>
      <c r="IZO47" s="110"/>
      <c r="IZQ47"/>
      <c r="IZS47" s="110"/>
      <c r="IZU47"/>
      <c r="IZW47" s="110"/>
      <c r="IZY47"/>
      <c r="JAA47" s="110"/>
      <c r="JAC47"/>
      <c r="JAE47" s="110"/>
      <c r="JAG47"/>
      <c r="JAI47" s="110"/>
      <c r="JAK47"/>
      <c r="JAM47" s="110"/>
      <c r="JAO47"/>
      <c r="JAQ47" s="110"/>
      <c r="JAS47"/>
      <c r="JAU47" s="110"/>
      <c r="JAW47"/>
      <c r="JAY47" s="110"/>
      <c r="JBA47"/>
      <c r="JBC47" s="110"/>
      <c r="JBE47"/>
      <c r="JBG47" s="110"/>
      <c r="JBI47"/>
      <c r="JBK47" s="110"/>
      <c r="JBM47"/>
      <c r="JBO47" s="110"/>
      <c r="JBQ47"/>
      <c r="JBS47" s="110"/>
      <c r="JBU47"/>
      <c r="JBW47" s="110"/>
      <c r="JBY47"/>
      <c r="JCA47" s="110"/>
      <c r="JCC47"/>
      <c r="JCE47" s="110"/>
      <c r="JCG47"/>
      <c r="JCI47" s="110"/>
      <c r="JCK47"/>
      <c r="JCM47" s="110"/>
      <c r="JCO47"/>
      <c r="JCQ47" s="110"/>
      <c r="JCS47"/>
      <c r="JCU47" s="110"/>
      <c r="JCW47"/>
      <c r="JCY47" s="110"/>
      <c r="JDA47"/>
      <c r="JDC47" s="110"/>
      <c r="JDE47"/>
      <c r="JDG47" s="110"/>
      <c r="JDI47"/>
      <c r="JDK47" s="110"/>
      <c r="JDM47"/>
      <c r="JDO47" s="110"/>
      <c r="JDQ47"/>
      <c r="JDS47" s="110"/>
      <c r="JDU47"/>
      <c r="JDW47" s="110"/>
      <c r="JDY47"/>
      <c r="JEA47" s="110"/>
      <c r="JEC47"/>
      <c r="JEE47" s="110"/>
      <c r="JEG47"/>
      <c r="JEI47" s="110"/>
      <c r="JEK47"/>
      <c r="JEM47" s="110"/>
      <c r="JEO47"/>
      <c r="JEQ47" s="110"/>
      <c r="JES47"/>
      <c r="JEU47" s="110"/>
      <c r="JEW47"/>
      <c r="JEY47" s="110"/>
      <c r="JFA47"/>
      <c r="JFC47" s="110"/>
      <c r="JFE47"/>
      <c r="JFG47" s="110"/>
      <c r="JFI47"/>
      <c r="JFK47" s="110"/>
      <c r="JFM47"/>
      <c r="JFO47" s="110"/>
      <c r="JFQ47"/>
      <c r="JFS47" s="110"/>
      <c r="JFU47"/>
      <c r="JFW47" s="110"/>
      <c r="JFY47"/>
      <c r="JGA47" s="110"/>
      <c r="JGC47"/>
      <c r="JGE47" s="110"/>
      <c r="JGG47"/>
      <c r="JGI47" s="110"/>
      <c r="JGK47"/>
      <c r="JGM47" s="110"/>
      <c r="JGO47"/>
      <c r="JGQ47" s="110"/>
      <c r="JGS47"/>
      <c r="JGU47" s="110"/>
      <c r="JGW47"/>
      <c r="JGY47" s="110"/>
      <c r="JHA47"/>
      <c r="JHC47" s="110"/>
      <c r="JHE47"/>
      <c r="JHG47" s="110"/>
      <c r="JHI47"/>
      <c r="JHK47" s="110"/>
      <c r="JHM47"/>
      <c r="JHO47" s="110"/>
      <c r="JHQ47"/>
      <c r="JHS47" s="110"/>
      <c r="JHU47"/>
      <c r="JHW47" s="110"/>
      <c r="JHY47"/>
      <c r="JIA47" s="110"/>
      <c r="JIC47"/>
      <c r="JIE47" s="110"/>
      <c r="JIG47"/>
      <c r="JII47" s="110"/>
      <c r="JIK47"/>
      <c r="JIM47" s="110"/>
      <c r="JIO47"/>
      <c r="JIQ47" s="110"/>
      <c r="JIS47"/>
      <c r="JIU47" s="110"/>
      <c r="JIW47"/>
      <c r="JIY47" s="110"/>
      <c r="JJA47"/>
      <c r="JJC47" s="110"/>
      <c r="JJE47"/>
      <c r="JJG47" s="110"/>
      <c r="JJI47"/>
      <c r="JJK47" s="110"/>
      <c r="JJM47"/>
      <c r="JJO47" s="110"/>
      <c r="JJQ47"/>
      <c r="JJS47" s="110"/>
      <c r="JJU47"/>
      <c r="JJW47" s="110"/>
      <c r="JJY47"/>
      <c r="JKA47" s="110"/>
      <c r="JKC47"/>
      <c r="JKE47" s="110"/>
      <c r="JKG47"/>
      <c r="JKI47" s="110"/>
      <c r="JKK47"/>
      <c r="JKM47" s="110"/>
      <c r="JKO47"/>
      <c r="JKQ47" s="110"/>
      <c r="JKS47"/>
      <c r="JKU47" s="110"/>
      <c r="JKW47"/>
      <c r="JKY47" s="110"/>
      <c r="JLA47"/>
      <c r="JLC47" s="110"/>
      <c r="JLE47"/>
      <c r="JLG47" s="110"/>
      <c r="JLI47"/>
      <c r="JLK47" s="110"/>
      <c r="JLM47"/>
      <c r="JLO47" s="110"/>
      <c r="JLQ47"/>
      <c r="JLS47" s="110"/>
      <c r="JLU47"/>
      <c r="JLW47" s="110"/>
      <c r="JLY47"/>
      <c r="JMA47" s="110"/>
      <c r="JMC47"/>
      <c r="JME47" s="110"/>
      <c r="JMG47"/>
      <c r="JMI47" s="110"/>
      <c r="JMK47"/>
      <c r="JMM47" s="110"/>
      <c r="JMO47"/>
      <c r="JMQ47" s="110"/>
      <c r="JMS47"/>
      <c r="JMU47" s="110"/>
      <c r="JMW47"/>
      <c r="JMY47" s="110"/>
      <c r="JNA47"/>
      <c r="JNC47" s="110"/>
      <c r="JNE47"/>
      <c r="JNG47" s="110"/>
      <c r="JNI47"/>
      <c r="JNK47" s="110"/>
      <c r="JNM47"/>
      <c r="JNO47" s="110"/>
      <c r="JNQ47"/>
      <c r="JNS47" s="110"/>
      <c r="JNU47"/>
      <c r="JNW47" s="110"/>
      <c r="JNY47"/>
      <c r="JOA47" s="110"/>
      <c r="JOC47"/>
      <c r="JOE47" s="110"/>
      <c r="JOG47"/>
      <c r="JOI47" s="110"/>
      <c r="JOK47"/>
      <c r="JOM47" s="110"/>
      <c r="JOO47"/>
      <c r="JOQ47" s="110"/>
      <c r="JOS47"/>
      <c r="JOU47" s="110"/>
      <c r="JOW47"/>
      <c r="JOY47" s="110"/>
      <c r="JPA47"/>
      <c r="JPC47" s="110"/>
      <c r="JPE47"/>
      <c r="JPG47" s="110"/>
      <c r="JPI47"/>
      <c r="JPK47" s="110"/>
      <c r="JPM47"/>
      <c r="JPO47" s="110"/>
      <c r="JPQ47"/>
      <c r="JPS47" s="110"/>
      <c r="JPU47"/>
      <c r="JPW47" s="110"/>
      <c r="JPY47"/>
      <c r="JQA47" s="110"/>
      <c r="JQC47"/>
      <c r="JQE47" s="110"/>
      <c r="JQG47"/>
      <c r="JQI47" s="110"/>
      <c r="JQK47"/>
      <c r="JQM47" s="110"/>
      <c r="JQO47"/>
      <c r="JQQ47" s="110"/>
      <c r="JQS47"/>
      <c r="JQU47" s="110"/>
      <c r="JQW47"/>
      <c r="JQY47" s="110"/>
      <c r="JRA47"/>
      <c r="JRC47" s="110"/>
      <c r="JRE47"/>
      <c r="JRG47" s="110"/>
      <c r="JRI47"/>
      <c r="JRK47" s="110"/>
      <c r="JRM47"/>
      <c r="JRO47" s="110"/>
      <c r="JRQ47"/>
      <c r="JRS47" s="110"/>
      <c r="JRU47"/>
      <c r="JRW47" s="110"/>
      <c r="JRY47"/>
      <c r="JSA47" s="110"/>
      <c r="JSC47"/>
      <c r="JSE47" s="110"/>
      <c r="JSG47"/>
      <c r="JSI47" s="110"/>
      <c r="JSK47"/>
      <c r="JSM47" s="110"/>
      <c r="JSO47"/>
      <c r="JSQ47" s="110"/>
      <c r="JSS47"/>
      <c r="JSU47" s="110"/>
      <c r="JSW47"/>
      <c r="JSY47" s="110"/>
      <c r="JTA47"/>
      <c r="JTC47" s="110"/>
      <c r="JTE47"/>
      <c r="JTG47" s="110"/>
      <c r="JTI47"/>
      <c r="JTK47" s="110"/>
      <c r="JTM47"/>
      <c r="JTO47" s="110"/>
      <c r="JTQ47"/>
      <c r="JTS47" s="110"/>
      <c r="JTU47"/>
      <c r="JTW47" s="110"/>
      <c r="JTY47"/>
      <c r="JUA47" s="110"/>
      <c r="JUC47"/>
      <c r="JUE47" s="110"/>
      <c r="JUG47"/>
      <c r="JUI47" s="110"/>
      <c r="JUK47"/>
      <c r="JUM47" s="110"/>
      <c r="JUO47"/>
      <c r="JUQ47" s="110"/>
      <c r="JUS47"/>
      <c r="JUU47" s="110"/>
      <c r="JUW47"/>
      <c r="JUY47" s="110"/>
      <c r="JVA47"/>
      <c r="JVC47" s="110"/>
      <c r="JVE47"/>
      <c r="JVG47" s="110"/>
      <c r="JVI47"/>
      <c r="JVK47" s="110"/>
      <c r="JVM47"/>
      <c r="JVO47" s="110"/>
      <c r="JVQ47"/>
      <c r="JVS47" s="110"/>
      <c r="JVU47"/>
      <c r="JVW47" s="110"/>
      <c r="JVY47"/>
      <c r="JWA47" s="110"/>
      <c r="JWC47"/>
      <c r="JWE47" s="110"/>
      <c r="JWG47"/>
      <c r="JWI47" s="110"/>
      <c r="JWK47"/>
      <c r="JWM47" s="110"/>
      <c r="JWO47"/>
      <c r="JWQ47" s="110"/>
      <c r="JWS47"/>
      <c r="JWU47" s="110"/>
      <c r="JWW47"/>
      <c r="JWY47" s="110"/>
      <c r="JXA47"/>
      <c r="JXC47" s="110"/>
      <c r="JXE47"/>
      <c r="JXG47" s="110"/>
      <c r="JXI47"/>
      <c r="JXK47" s="110"/>
      <c r="JXM47"/>
      <c r="JXO47" s="110"/>
      <c r="JXQ47"/>
      <c r="JXS47" s="110"/>
      <c r="JXU47"/>
      <c r="JXW47" s="110"/>
      <c r="JXY47"/>
      <c r="JYA47" s="110"/>
      <c r="JYC47"/>
      <c r="JYE47" s="110"/>
      <c r="JYG47"/>
      <c r="JYI47" s="110"/>
      <c r="JYK47"/>
      <c r="JYM47" s="110"/>
      <c r="JYO47"/>
      <c r="JYQ47" s="110"/>
      <c r="JYS47"/>
      <c r="JYU47" s="110"/>
      <c r="JYW47"/>
      <c r="JYY47" s="110"/>
      <c r="JZA47"/>
      <c r="JZC47" s="110"/>
      <c r="JZE47"/>
      <c r="JZG47" s="110"/>
      <c r="JZI47"/>
      <c r="JZK47" s="110"/>
      <c r="JZM47"/>
      <c r="JZO47" s="110"/>
      <c r="JZQ47"/>
      <c r="JZS47" s="110"/>
      <c r="JZU47"/>
      <c r="JZW47" s="110"/>
      <c r="JZY47"/>
      <c r="KAA47" s="110"/>
      <c r="KAC47"/>
      <c r="KAE47" s="110"/>
      <c r="KAG47"/>
      <c r="KAI47" s="110"/>
      <c r="KAK47"/>
      <c r="KAM47" s="110"/>
      <c r="KAO47"/>
      <c r="KAQ47" s="110"/>
      <c r="KAS47"/>
      <c r="KAU47" s="110"/>
      <c r="KAW47"/>
      <c r="KAY47" s="110"/>
      <c r="KBA47"/>
      <c r="KBC47" s="110"/>
      <c r="KBE47"/>
      <c r="KBG47" s="110"/>
      <c r="KBI47"/>
      <c r="KBK47" s="110"/>
      <c r="KBM47"/>
      <c r="KBO47" s="110"/>
      <c r="KBQ47"/>
      <c r="KBS47" s="110"/>
      <c r="KBU47"/>
      <c r="KBW47" s="110"/>
      <c r="KBY47"/>
      <c r="KCA47" s="110"/>
      <c r="KCC47"/>
      <c r="KCE47" s="110"/>
      <c r="KCG47"/>
      <c r="KCI47" s="110"/>
      <c r="KCK47"/>
      <c r="KCM47" s="110"/>
      <c r="KCO47"/>
      <c r="KCQ47" s="110"/>
      <c r="KCS47"/>
      <c r="KCU47" s="110"/>
      <c r="KCW47"/>
      <c r="KCY47" s="110"/>
      <c r="KDA47"/>
      <c r="KDC47" s="110"/>
      <c r="KDE47"/>
      <c r="KDG47" s="110"/>
      <c r="KDI47"/>
      <c r="KDK47" s="110"/>
      <c r="KDM47"/>
      <c r="KDO47" s="110"/>
      <c r="KDQ47"/>
      <c r="KDS47" s="110"/>
      <c r="KDU47"/>
      <c r="KDW47" s="110"/>
      <c r="KDY47"/>
      <c r="KEA47" s="110"/>
      <c r="KEC47"/>
      <c r="KEE47" s="110"/>
      <c r="KEG47"/>
      <c r="KEI47" s="110"/>
      <c r="KEK47"/>
      <c r="KEM47" s="110"/>
      <c r="KEO47"/>
      <c r="KEQ47" s="110"/>
      <c r="KES47"/>
      <c r="KEU47" s="110"/>
      <c r="KEW47"/>
      <c r="KEY47" s="110"/>
      <c r="KFA47"/>
      <c r="KFC47" s="110"/>
      <c r="KFE47"/>
      <c r="KFG47" s="110"/>
      <c r="KFI47"/>
      <c r="KFK47" s="110"/>
      <c r="KFM47"/>
      <c r="KFO47" s="110"/>
      <c r="KFQ47"/>
      <c r="KFS47" s="110"/>
      <c r="KFU47"/>
      <c r="KFW47" s="110"/>
      <c r="KFY47"/>
      <c r="KGA47" s="110"/>
      <c r="KGC47"/>
      <c r="KGE47" s="110"/>
      <c r="KGG47"/>
      <c r="KGI47" s="110"/>
      <c r="KGK47"/>
      <c r="KGM47" s="110"/>
      <c r="KGO47"/>
      <c r="KGQ47" s="110"/>
      <c r="KGS47"/>
      <c r="KGU47" s="110"/>
      <c r="KGW47"/>
      <c r="KGY47" s="110"/>
      <c r="KHA47"/>
      <c r="KHC47" s="110"/>
      <c r="KHE47"/>
      <c r="KHG47" s="110"/>
      <c r="KHI47"/>
      <c r="KHK47" s="110"/>
      <c r="KHM47"/>
      <c r="KHO47" s="110"/>
      <c r="KHQ47"/>
      <c r="KHS47" s="110"/>
      <c r="KHU47"/>
      <c r="KHW47" s="110"/>
      <c r="KHY47"/>
      <c r="KIA47" s="110"/>
      <c r="KIC47"/>
      <c r="KIE47" s="110"/>
      <c r="KIG47"/>
      <c r="KII47" s="110"/>
      <c r="KIK47"/>
      <c r="KIM47" s="110"/>
      <c r="KIO47"/>
      <c r="KIQ47" s="110"/>
      <c r="KIS47"/>
      <c r="KIU47" s="110"/>
      <c r="KIW47"/>
      <c r="KIY47" s="110"/>
      <c r="KJA47"/>
      <c r="KJC47" s="110"/>
      <c r="KJE47"/>
      <c r="KJG47" s="110"/>
      <c r="KJI47"/>
      <c r="KJK47" s="110"/>
      <c r="KJM47"/>
      <c r="KJO47" s="110"/>
      <c r="KJQ47"/>
      <c r="KJS47" s="110"/>
      <c r="KJU47"/>
      <c r="KJW47" s="110"/>
      <c r="KJY47"/>
      <c r="KKA47" s="110"/>
      <c r="KKC47"/>
      <c r="KKE47" s="110"/>
      <c r="KKG47"/>
      <c r="KKI47" s="110"/>
      <c r="KKK47"/>
      <c r="KKM47" s="110"/>
      <c r="KKO47"/>
      <c r="KKQ47" s="110"/>
      <c r="KKS47"/>
      <c r="KKU47" s="110"/>
      <c r="KKW47"/>
      <c r="KKY47" s="110"/>
      <c r="KLA47"/>
      <c r="KLC47" s="110"/>
      <c r="KLE47"/>
      <c r="KLG47" s="110"/>
      <c r="KLI47"/>
      <c r="KLK47" s="110"/>
      <c r="KLM47"/>
      <c r="KLO47" s="110"/>
      <c r="KLQ47"/>
      <c r="KLS47" s="110"/>
      <c r="KLU47"/>
      <c r="KLW47" s="110"/>
      <c r="KLY47"/>
      <c r="KMA47" s="110"/>
      <c r="KMC47"/>
      <c r="KME47" s="110"/>
      <c r="KMG47"/>
      <c r="KMI47" s="110"/>
      <c r="KMK47"/>
      <c r="KMM47" s="110"/>
      <c r="KMO47"/>
      <c r="KMQ47" s="110"/>
      <c r="KMS47"/>
      <c r="KMU47" s="110"/>
      <c r="KMW47"/>
      <c r="KMY47" s="110"/>
      <c r="KNA47"/>
      <c r="KNC47" s="110"/>
      <c r="KNE47"/>
      <c r="KNG47" s="110"/>
      <c r="KNI47"/>
      <c r="KNK47" s="110"/>
      <c r="KNM47"/>
      <c r="KNO47" s="110"/>
      <c r="KNQ47"/>
      <c r="KNS47" s="110"/>
      <c r="KNU47"/>
      <c r="KNW47" s="110"/>
      <c r="KNY47"/>
      <c r="KOA47" s="110"/>
      <c r="KOC47"/>
      <c r="KOE47" s="110"/>
      <c r="KOG47"/>
      <c r="KOI47" s="110"/>
      <c r="KOK47"/>
      <c r="KOM47" s="110"/>
      <c r="KOO47"/>
      <c r="KOQ47" s="110"/>
      <c r="KOS47"/>
      <c r="KOU47" s="110"/>
      <c r="KOW47"/>
      <c r="KOY47" s="110"/>
      <c r="KPA47"/>
      <c r="KPC47" s="110"/>
      <c r="KPE47"/>
      <c r="KPG47" s="110"/>
      <c r="KPI47"/>
      <c r="KPK47" s="110"/>
      <c r="KPM47"/>
      <c r="KPO47" s="110"/>
      <c r="KPQ47"/>
      <c r="KPS47" s="110"/>
      <c r="KPU47"/>
      <c r="KPW47" s="110"/>
      <c r="KPY47"/>
      <c r="KQA47" s="110"/>
      <c r="KQC47"/>
      <c r="KQE47" s="110"/>
      <c r="KQG47"/>
      <c r="KQI47" s="110"/>
      <c r="KQK47"/>
      <c r="KQM47" s="110"/>
      <c r="KQO47"/>
      <c r="KQQ47" s="110"/>
      <c r="KQS47"/>
      <c r="KQU47" s="110"/>
      <c r="KQW47"/>
      <c r="KQY47" s="110"/>
      <c r="KRA47"/>
      <c r="KRC47" s="110"/>
      <c r="KRE47"/>
      <c r="KRG47" s="110"/>
      <c r="KRI47"/>
      <c r="KRK47" s="110"/>
      <c r="KRM47"/>
      <c r="KRO47" s="110"/>
      <c r="KRQ47"/>
      <c r="KRS47" s="110"/>
      <c r="KRU47"/>
      <c r="KRW47" s="110"/>
      <c r="KRY47"/>
      <c r="KSA47" s="110"/>
      <c r="KSC47"/>
      <c r="KSE47" s="110"/>
      <c r="KSG47"/>
      <c r="KSI47" s="110"/>
      <c r="KSK47"/>
      <c r="KSM47" s="110"/>
      <c r="KSO47"/>
      <c r="KSQ47" s="110"/>
      <c r="KSS47"/>
      <c r="KSU47" s="110"/>
      <c r="KSW47"/>
      <c r="KSY47" s="110"/>
      <c r="KTA47"/>
      <c r="KTC47" s="110"/>
      <c r="KTE47"/>
      <c r="KTG47" s="110"/>
      <c r="KTI47"/>
      <c r="KTK47" s="110"/>
      <c r="KTM47"/>
      <c r="KTO47" s="110"/>
      <c r="KTQ47"/>
      <c r="KTS47" s="110"/>
      <c r="KTU47"/>
      <c r="KTW47" s="110"/>
      <c r="KTY47"/>
      <c r="KUA47" s="110"/>
      <c r="KUC47"/>
      <c r="KUE47" s="110"/>
      <c r="KUG47"/>
      <c r="KUI47" s="110"/>
      <c r="KUK47"/>
      <c r="KUM47" s="110"/>
      <c r="KUO47"/>
      <c r="KUQ47" s="110"/>
      <c r="KUS47"/>
      <c r="KUU47" s="110"/>
      <c r="KUW47"/>
      <c r="KUY47" s="110"/>
      <c r="KVA47"/>
      <c r="KVC47" s="110"/>
      <c r="KVE47"/>
      <c r="KVG47" s="110"/>
      <c r="KVI47"/>
      <c r="KVK47" s="110"/>
      <c r="KVM47"/>
      <c r="KVO47" s="110"/>
      <c r="KVQ47"/>
      <c r="KVS47" s="110"/>
      <c r="KVU47"/>
      <c r="KVW47" s="110"/>
      <c r="KVY47"/>
      <c r="KWA47" s="110"/>
      <c r="KWC47"/>
      <c r="KWE47" s="110"/>
      <c r="KWG47"/>
      <c r="KWI47" s="110"/>
      <c r="KWK47"/>
      <c r="KWM47" s="110"/>
      <c r="KWO47"/>
      <c r="KWQ47" s="110"/>
      <c r="KWS47"/>
      <c r="KWU47" s="110"/>
      <c r="KWW47"/>
      <c r="KWY47" s="110"/>
      <c r="KXA47"/>
      <c r="KXC47" s="110"/>
      <c r="KXE47"/>
      <c r="KXG47" s="110"/>
      <c r="KXI47"/>
      <c r="KXK47" s="110"/>
      <c r="KXM47"/>
      <c r="KXO47" s="110"/>
      <c r="KXQ47"/>
      <c r="KXS47" s="110"/>
      <c r="KXU47"/>
      <c r="KXW47" s="110"/>
      <c r="KXY47"/>
      <c r="KYA47" s="110"/>
      <c r="KYC47"/>
      <c r="KYE47" s="110"/>
      <c r="KYG47"/>
      <c r="KYI47" s="110"/>
      <c r="KYK47"/>
      <c r="KYM47" s="110"/>
      <c r="KYO47"/>
      <c r="KYQ47" s="110"/>
      <c r="KYS47"/>
      <c r="KYU47" s="110"/>
      <c r="KYW47"/>
      <c r="KYY47" s="110"/>
      <c r="KZA47"/>
      <c r="KZC47" s="110"/>
      <c r="KZE47"/>
      <c r="KZG47" s="110"/>
      <c r="KZI47"/>
      <c r="KZK47" s="110"/>
      <c r="KZM47"/>
      <c r="KZO47" s="110"/>
      <c r="KZQ47"/>
      <c r="KZS47" s="110"/>
      <c r="KZU47"/>
      <c r="KZW47" s="110"/>
      <c r="KZY47"/>
      <c r="LAA47" s="110"/>
      <c r="LAC47"/>
      <c r="LAE47" s="110"/>
      <c r="LAG47"/>
      <c r="LAI47" s="110"/>
      <c r="LAK47"/>
      <c r="LAM47" s="110"/>
      <c r="LAO47"/>
      <c r="LAQ47" s="110"/>
      <c r="LAS47"/>
      <c r="LAU47" s="110"/>
      <c r="LAW47"/>
      <c r="LAY47" s="110"/>
      <c r="LBA47"/>
      <c r="LBC47" s="110"/>
      <c r="LBE47"/>
      <c r="LBG47" s="110"/>
      <c r="LBI47"/>
      <c r="LBK47" s="110"/>
      <c r="LBM47"/>
      <c r="LBO47" s="110"/>
      <c r="LBQ47"/>
      <c r="LBS47" s="110"/>
      <c r="LBU47"/>
      <c r="LBW47" s="110"/>
      <c r="LBY47"/>
      <c r="LCA47" s="110"/>
      <c r="LCC47"/>
      <c r="LCE47" s="110"/>
      <c r="LCG47"/>
      <c r="LCI47" s="110"/>
      <c r="LCK47"/>
      <c r="LCM47" s="110"/>
      <c r="LCO47"/>
      <c r="LCQ47" s="110"/>
      <c r="LCS47"/>
      <c r="LCU47" s="110"/>
      <c r="LCW47"/>
      <c r="LCY47" s="110"/>
      <c r="LDA47"/>
      <c r="LDC47" s="110"/>
      <c r="LDE47"/>
      <c r="LDG47" s="110"/>
      <c r="LDI47"/>
      <c r="LDK47" s="110"/>
      <c r="LDM47"/>
      <c r="LDO47" s="110"/>
      <c r="LDQ47"/>
      <c r="LDS47" s="110"/>
      <c r="LDU47"/>
      <c r="LDW47" s="110"/>
      <c r="LDY47"/>
      <c r="LEA47" s="110"/>
      <c r="LEC47"/>
      <c r="LEE47" s="110"/>
      <c r="LEG47"/>
      <c r="LEI47" s="110"/>
      <c r="LEK47"/>
      <c r="LEM47" s="110"/>
      <c r="LEO47"/>
      <c r="LEQ47" s="110"/>
      <c r="LES47"/>
      <c r="LEU47" s="110"/>
      <c r="LEW47"/>
      <c r="LEY47" s="110"/>
      <c r="LFA47"/>
      <c r="LFC47" s="110"/>
      <c r="LFE47"/>
      <c r="LFG47" s="110"/>
      <c r="LFI47"/>
      <c r="LFK47" s="110"/>
      <c r="LFM47"/>
      <c r="LFO47" s="110"/>
      <c r="LFQ47"/>
      <c r="LFS47" s="110"/>
      <c r="LFU47"/>
      <c r="LFW47" s="110"/>
      <c r="LFY47"/>
      <c r="LGA47" s="110"/>
      <c r="LGC47"/>
      <c r="LGE47" s="110"/>
      <c r="LGG47"/>
      <c r="LGI47" s="110"/>
      <c r="LGK47"/>
      <c r="LGM47" s="110"/>
      <c r="LGO47"/>
      <c r="LGQ47" s="110"/>
      <c r="LGS47"/>
      <c r="LGU47" s="110"/>
      <c r="LGW47"/>
      <c r="LGY47" s="110"/>
      <c r="LHA47"/>
      <c r="LHC47" s="110"/>
      <c r="LHE47"/>
      <c r="LHG47" s="110"/>
      <c r="LHI47"/>
      <c r="LHK47" s="110"/>
      <c r="LHM47"/>
      <c r="LHO47" s="110"/>
      <c r="LHQ47"/>
      <c r="LHS47" s="110"/>
      <c r="LHU47"/>
      <c r="LHW47" s="110"/>
      <c r="LHY47"/>
      <c r="LIA47" s="110"/>
      <c r="LIC47"/>
      <c r="LIE47" s="110"/>
      <c r="LIG47"/>
      <c r="LII47" s="110"/>
      <c r="LIK47"/>
      <c r="LIM47" s="110"/>
      <c r="LIO47"/>
      <c r="LIQ47" s="110"/>
      <c r="LIS47"/>
      <c r="LIU47" s="110"/>
      <c r="LIW47"/>
      <c r="LIY47" s="110"/>
      <c r="LJA47"/>
      <c r="LJC47" s="110"/>
      <c r="LJE47"/>
      <c r="LJG47" s="110"/>
      <c r="LJI47"/>
      <c r="LJK47" s="110"/>
      <c r="LJM47"/>
      <c r="LJO47" s="110"/>
      <c r="LJQ47"/>
      <c r="LJS47" s="110"/>
      <c r="LJU47"/>
      <c r="LJW47" s="110"/>
      <c r="LJY47"/>
      <c r="LKA47" s="110"/>
      <c r="LKC47"/>
      <c r="LKE47" s="110"/>
      <c r="LKG47"/>
      <c r="LKI47" s="110"/>
      <c r="LKK47"/>
      <c r="LKM47" s="110"/>
      <c r="LKO47"/>
      <c r="LKQ47" s="110"/>
      <c r="LKS47"/>
      <c r="LKU47" s="110"/>
      <c r="LKW47"/>
      <c r="LKY47" s="110"/>
      <c r="LLA47"/>
      <c r="LLC47" s="110"/>
      <c r="LLE47"/>
      <c r="LLG47" s="110"/>
      <c r="LLI47"/>
      <c r="LLK47" s="110"/>
      <c r="LLM47"/>
      <c r="LLO47" s="110"/>
      <c r="LLQ47"/>
      <c r="LLS47" s="110"/>
      <c r="LLU47"/>
      <c r="LLW47" s="110"/>
      <c r="LLY47"/>
      <c r="LMA47" s="110"/>
      <c r="LMC47"/>
      <c r="LME47" s="110"/>
      <c r="LMG47"/>
      <c r="LMI47" s="110"/>
      <c r="LMK47"/>
      <c r="LMM47" s="110"/>
      <c r="LMO47"/>
      <c r="LMQ47" s="110"/>
      <c r="LMS47"/>
      <c r="LMU47" s="110"/>
      <c r="LMW47"/>
      <c r="LMY47" s="110"/>
      <c r="LNA47"/>
      <c r="LNC47" s="110"/>
      <c r="LNE47"/>
      <c r="LNG47" s="110"/>
      <c r="LNI47"/>
      <c r="LNK47" s="110"/>
      <c r="LNM47"/>
      <c r="LNO47" s="110"/>
      <c r="LNQ47"/>
      <c r="LNS47" s="110"/>
      <c r="LNU47"/>
      <c r="LNW47" s="110"/>
      <c r="LNY47"/>
      <c r="LOA47" s="110"/>
      <c r="LOC47"/>
      <c r="LOE47" s="110"/>
      <c r="LOG47"/>
      <c r="LOI47" s="110"/>
      <c r="LOK47"/>
      <c r="LOM47" s="110"/>
      <c r="LOO47"/>
      <c r="LOQ47" s="110"/>
      <c r="LOS47"/>
      <c r="LOU47" s="110"/>
      <c r="LOW47"/>
      <c r="LOY47" s="110"/>
      <c r="LPA47"/>
      <c r="LPC47" s="110"/>
      <c r="LPE47"/>
      <c r="LPG47" s="110"/>
      <c r="LPI47"/>
      <c r="LPK47" s="110"/>
      <c r="LPM47"/>
      <c r="LPO47" s="110"/>
      <c r="LPQ47"/>
      <c r="LPS47" s="110"/>
      <c r="LPU47"/>
      <c r="LPW47" s="110"/>
      <c r="LPY47"/>
      <c r="LQA47" s="110"/>
      <c r="LQC47"/>
      <c r="LQE47" s="110"/>
      <c r="LQG47"/>
      <c r="LQI47" s="110"/>
      <c r="LQK47"/>
      <c r="LQM47" s="110"/>
      <c r="LQO47"/>
      <c r="LQQ47" s="110"/>
      <c r="LQS47"/>
      <c r="LQU47" s="110"/>
      <c r="LQW47"/>
      <c r="LQY47" s="110"/>
      <c r="LRA47"/>
      <c r="LRC47" s="110"/>
      <c r="LRE47"/>
      <c r="LRG47" s="110"/>
      <c r="LRI47"/>
      <c r="LRK47" s="110"/>
      <c r="LRM47"/>
      <c r="LRO47" s="110"/>
      <c r="LRQ47"/>
      <c r="LRS47" s="110"/>
      <c r="LRU47"/>
      <c r="LRW47" s="110"/>
      <c r="LRY47"/>
      <c r="LSA47" s="110"/>
      <c r="LSC47"/>
      <c r="LSE47" s="110"/>
      <c r="LSG47"/>
      <c r="LSI47" s="110"/>
      <c r="LSK47"/>
      <c r="LSM47" s="110"/>
      <c r="LSO47"/>
      <c r="LSQ47" s="110"/>
      <c r="LSS47"/>
      <c r="LSU47" s="110"/>
      <c r="LSW47"/>
      <c r="LSY47" s="110"/>
      <c r="LTA47"/>
      <c r="LTC47" s="110"/>
      <c r="LTE47"/>
      <c r="LTG47" s="110"/>
      <c r="LTI47"/>
      <c r="LTK47" s="110"/>
      <c r="LTM47"/>
      <c r="LTO47" s="110"/>
      <c r="LTQ47"/>
      <c r="LTS47" s="110"/>
      <c r="LTU47"/>
      <c r="LTW47" s="110"/>
      <c r="LTY47"/>
      <c r="LUA47" s="110"/>
      <c r="LUC47"/>
      <c r="LUE47" s="110"/>
      <c r="LUG47"/>
      <c r="LUI47" s="110"/>
      <c r="LUK47"/>
      <c r="LUM47" s="110"/>
      <c r="LUO47"/>
      <c r="LUQ47" s="110"/>
      <c r="LUS47"/>
      <c r="LUU47" s="110"/>
      <c r="LUW47"/>
      <c r="LUY47" s="110"/>
      <c r="LVA47"/>
      <c r="LVC47" s="110"/>
      <c r="LVE47"/>
      <c r="LVG47" s="110"/>
      <c r="LVI47"/>
      <c r="LVK47" s="110"/>
      <c r="LVM47"/>
      <c r="LVO47" s="110"/>
      <c r="LVQ47"/>
      <c r="LVS47" s="110"/>
      <c r="LVU47"/>
      <c r="LVW47" s="110"/>
      <c r="LVY47"/>
      <c r="LWA47" s="110"/>
      <c r="LWC47"/>
      <c r="LWE47" s="110"/>
      <c r="LWG47"/>
      <c r="LWI47" s="110"/>
      <c r="LWK47"/>
      <c r="LWM47" s="110"/>
      <c r="LWO47"/>
      <c r="LWQ47" s="110"/>
      <c r="LWS47"/>
      <c r="LWU47" s="110"/>
      <c r="LWW47"/>
      <c r="LWY47" s="110"/>
      <c r="LXA47"/>
      <c r="LXC47" s="110"/>
      <c r="LXE47"/>
      <c r="LXG47" s="110"/>
      <c r="LXI47"/>
      <c r="LXK47" s="110"/>
      <c r="LXM47"/>
      <c r="LXO47" s="110"/>
      <c r="LXQ47"/>
      <c r="LXS47" s="110"/>
      <c r="LXU47"/>
      <c r="LXW47" s="110"/>
      <c r="LXY47"/>
      <c r="LYA47" s="110"/>
      <c r="LYC47"/>
      <c r="LYE47" s="110"/>
      <c r="LYG47"/>
      <c r="LYI47" s="110"/>
      <c r="LYK47"/>
      <c r="LYM47" s="110"/>
      <c r="LYO47"/>
      <c r="LYQ47" s="110"/>
      <c r="LYS47"/>
      <c r="LYU47" s="110"/>
      <c r="LYW47"/>
      <c r="LYY47" s="110"/>
      <c r="LZA47"/>
      <c r="LZC47" s="110"/>
      <c r="LZE47"/>
      <c r="LZG47" s="110"/>
      <c r="LZI47"/>
      <c r="LZK47" s="110"/>
      <c r="LZM47"/>
      <c r="LZO47" s="110"/>
      <c r="LZQ47"/>
      <c r="LZS47" s="110"/>
      <c r="LZU47"/>
      <c r="LZW47" s="110"/>
      <c r="LZY47"/>
      <c r="MAA47" s="110"/>
      <c r="MAC47"/>
      <c r="MAE47" s="110"/>
      <c r="MAG47"/>
      <c r="MAI47" s="110"/>
      <c r="MAK47"/>
      <c r="MAM47" s="110"/>
      <c r="MAO47"/>
      <c r="MAQ47" s="110"/>
      <c r="MAS47"/>
      <c r="MAU47" s="110"/>
      <c r="MAW47"/>
      <c r="MAY47" s="110"/>
      <c r="MBA47"/>
      <c r="MBC47" s="110"/>
      <c r="MBE47"/>
      <c r="MBG47" s="110"/>
      <c r="MBI47"/>
      <c r="MBK47" s="110"/>
      <c r="MBM47"/>
      <c r="MBO47" s="110"/>
      <c r="MBQ47"/>
      <c r="MBS47" s="110"/>
      <c r="MBU47"/>
      <c r="MBW47" s="110"/>
      <c r="MBY47"/>
      <c r="MCA47" s="110"/>
      <c r="MCC47"/>
      <c r="MCE47" s="110"/>
      <c r="MCG47"/>
      <c r="MCI47" s="110"/>
      <c r="MCK47"/>
      <c r="MCM47" s="110"/>
      <c r="MCO47"/>
      <c r="MCQ47" s="110"/>
      <c r="MCS47"/>
      <c r="MCU47" s="110"/>
      <c r="MCW47"/>
      <c r="MCY47" s="110"/>
      <c r="MDA47"/>
      <c r="MDC47" s="110"/>
      <c r="MDE47"/>
      <c r="MDG47" s="110"/>
      <c r="MDI47"/>
      <c r="MDK47" s="110"/>
      <c r="MDM47"/>
      <c r="MDO47" s="110"/>
      <c r="MDQ47"/>
      <c r="MDS47" s="110"/>
      <c r="MDU47"/>
      <c r="MDW47" s="110"/>
      <c r="MDY47"/>
      <c r="MEA47" s="110"/>
      <c r="MEC47"/>
      <c r="MEE47" s="110"/>
      <c r="MEG47"/>
      <c r="MEI47" s="110"/>
      <c r="MEK47"/>
      <c r="MEM47" s="110"/>
      <c r="MEO47"/>
      <c r="MEQ47" s="110"/>
      <c r="MES47"/>
      <c r="MEU47" s="110"/>
      <c r="MEW47"/>
      <c r="MEY47" s="110"/>
      <c r="MFA47"/>
      <c r="MFC47" s="110"/>
      <c r="MFE47"/>
      <c r="MFG47" s="110"/>
      <c r="MFI47"/>
      <c r="MFK47" s="110"/>
      <c r="MFM47"/>
      <c r="MFO47" s="110"/>
      <c r="MFQ47"/>
      <c r="MFS47" s="110"/>
      <c r="MFU47"/>
      <c r="MFW47" s="110"/>
      <c r="MFY47"/>
      <c r="MGA47" s="110"/>
      <c r="MGC47"/>
      <c r="MGE47" s="110"/>
      <c r="MGG47"/>
      <c r="MGI47" s="110"/>
      <c r="MGK47"/>
      <c r="MGM47" s="110"/>
      <c r="MGO47"/>
      <c r="MGQ47" s="110"/>
      <c r="MGS47"/>
      <c r="MGU47" s="110"/>
      <c r="MGW47"/>
      <c r="MGY47" s="110"/>
      <c r="MHA47"/>
      <c r="MHC47" s="110"/>
      <c r="MHE47"/>
      <c r="MHG47" s="110"/>
      <c r="MHI47"/>
      <c r="MHK47" s="110"/>
      <c r="MHM47"/>
      <c r="MHO47" s="110"/>
      <c r="MHQ47"/>
      <c r="MHS47" s="110"/>
      <c r="MHU47"/>
      <c r="MHW47" s="110"/>
      <c r="MHY47"/>
      <c r="MIA47" s="110"/>
      <c r="MIC47"/>
      <c r="MIE47" s="110"/>
      <c r="MIG47"/>
      <c r="MII47" s="110"/>
      <c r="MIK47"/>
      <c r="MIM47" s="110"/>
      <c r="MIO47"/>
      <c r="MIQ47" s="110"/>
      <c r="MIS47"/>
      <c r="MIU47" s="110"/>
      <c r="MIW47"/>
      <c r="MIY47" s="110"/>
      <c r="MJA47"/>
      <c r="MJC47" s="110"/>
      <c r="MJE47"/>
      <c r="MJG47" s="110"/>
      <c r="MJI47"/>
      <c r="MJK47" s="110"/>
      <c r="MJM47"/>
      <c r="MJO47" s="110"/>
      <c r="MJQ47"/>
      <c r="MJS47" s="110"/>
      <c r="MJU47"/>
      <c r="MJW47" s="110"/>
      <c r="MJY47"/>
      <c r="MKA47" s="110"/>
      <c r="MKC47"/>
      <c r="MKE47" s="110"/>
      <c r="MKG47"/>
      <c r="MKI47" s="110"/>
      <c r="MKK47"/>
      <c r="MKM47" s="110"/>
      <c r="MKO47"/>
      <c r="MKQ47" s="110"/>
      <c r="MKS47"/>
      <c r="MKU47" s="110"/>
      <c r="MKW47"/>
      <c r="MKY47" s="110"/>
      <c r="MLA47"/>
      <c r="MLC47" s="110"/>
      <c r="MLE47"/>
      <c r="MLG47" s="110"/>
      <c r="MLI47"/>
      <c r="MLK47" s="110"/>
      <c r="MLM47"/>
      <c r="MLO47" s="110"/>
      <c r="MLQ47"/>
      <c r="MLS47" s="110"/>
      <c r="MLU47"/>
      <c r="MLW47" s="110"/>
      <c r="MLY47"/>
      <c r="MMA47" s="110"/>
      <c r="MMC47"/>
      <c r="MME47" s="110"/>
      <c r="MMG47"/>
      <c r="MMI47" s="110"/>
      <c r="MMK47"/>
      <c r="MMM47" s="110"/>
      <c r="MMO47"/>
      <c r="MMQ47" s="110"/>
      <c r="MMS47"/>
      <c r="MMU47" s="110"/>
      <c r="MMW47"/>
      <c r="MMY47" s="110"/>
      <c r="MNA47"/>
      <c r="MNC47" s="110"/>
      <c r="MNE47"/>
      <c r="MNG47" s="110"/>
      <c r="MNI47"/>
      <c r="MNK47" s="110"/>
      <c r="MNM47"/>
      <c r="MNO47" s="110"/>
      <c r="MNQ47"/>
      <c r="MNS47" s="110"/>
      <c r="MNU47"/>
      <c r="MNW47" s="110"/>
      <c r="MNY47"/>
      <c r="MOA47" s="110"/>
      <c r="MOC47"/>
      <c r="MOE47" s="110"/>
      <c r="MOG47"/>
      <c r="MOI47" s="110"/>
      <c r="MOK47"/>
      <c r="MOM47" s="110"/>
      <c r="MOO47"/>
      <c r="MOQ47" s="110"/>
      <c r="MOS47"/>
      <c r="MOU47" s="110"/>
      <c r="MOW47"/>
      <c r="MOY47" s="110"/>
      <c r="MPA47"/>
      <c r="MPC47" s="110"/>
      <c r="MPE47"/>
      <c r="MPG47" s="110"/>
      <c r="MPI47"/>
      <c r="MPK47" s="110"/>
      <c r="MPM47"/>
      <c r="MPO47" s="110"/>
      <c r="MPQ47"/>
      <c r="MPS47" s="110"/>
      <c r="MPU47"/>
      <c r="MPW47" s="110"/>
      <c r="MPY47"/>
      <c r="MQA47" s="110"/>
      <c r="MQC47"/>
      <c r="MQE47" s="110"/>
      <c r="MQG47"/>
      <c r="MQI47" s="110"/>
      <c r="MQK47"/>
      <c r="MQM47" s="110"/>
      <c r="MQO47"/>
      <c r="MQQ47" s="110"/>
      <c r="MQS47"/>
      <c r="MQU47" s="110"/>
      <c r="MQW47"/>
      <c r="MQY47" s="110"/>
      <c r="MRA47"/>
      <c r="MRC47" s="110"/>
      <c r="MRE47"/>
      <c r="MRG47" s="110"/>
      <c r="MRI47"/>
      <c r="MRK47" s="110"/>
      <c r="MRM47"/>
      <c r="MRO47" s="110"/>
      <c r="MRQ47"/>
      <c r="MRS47" s="110"/>
      <c r="MRU47"/>
      <c r="MRW47" s="110"/>
      <c r="MRY47"/>
      <c r="MSA47" s="110"/>
      <c r="MSC47"/>
      <c r="MSE47" s="110"/>
      <c r="MSG47"/>
      <c r="MSI47" s="110"/>
      <c r="MSK47"/>
      <c r="MSM47" s="110"/>
      <c r="MSO47"/>
      <c r="MSQ47" s="110"/>
      <c r="MSS47"/>
      <c r="MSU47" s="110"/>
      <c r="MSW47"/>
      <c r="MSY47" s="110"/>
      <c r="MTA47"/>
      <c r="MTC47" s="110"/>
      <c r="MTE47"/>
      <c r="MTG47" s="110"/>
      <c r="MTI47"/>
      <c r="MTK47" s="110"/>
      <c r="MTM47"/>
      <c r="MTO47" s="110"/>
      <c r="MTQ47"/>
      <c r="MTS47" s="110"/>
      <c r="MTU47"/>
      <c r="MTW47" s="110"/>
      <c r="MTY47"/>
      <c r="MUA47" s="110"/>
      <c r="MUC47"/>
      <c r="MUE47" s="110"/>
      <c r="MUG47"/>
      <c r="MUI47" s="110"/>
      <c r="MUK47"/>
      <c r="MUM47" s="110"/>
      <c r="MUO47"/>
      <c r="MUQ47" s="110"/>
      <c r="MUS47"/>
      <c r="MUU47" s="110"/>
      <c r="MUW47"/>
      <c r="MUY47" s="110"/>
      <c r="MVA47"/>
      <c r="MVC47" s="110"/>
      <c r="MVE47"/>
      <c r="MVG47" s="110"/>
      <c r="MVI47"/>
      <c r="MVK47" s="110"/>
      <c r="MVM47"/>
      <c r="MVO47" s="110"/>
      <c r="MVQ47"/>
      <c r="MVS47" s="110"/>
      <c r="MVU47"/>
      <c r="MVW47" s="110"/>
      <c r="MVY47"/>
      <c r="MWA47" s="110"/>
      <c r="MWC47"/>
      <c r="MWE47" s="110"/>
      <c r="MWG47"/>
      <c r="MWI47" s="110"/>
      <c r="MWK47"/>
      <c r="MWM47" s="110"/>
      <c r="MWO47"/>
      <c r="MWQ47" s="110"/>
      <c r="MWS47"/>
      <c r="MWU47" s="110"/>
      <c r="MWW47"/>
      <c r="MWY47" s="110"/>
      <c r="MXA47"/>
      <c r="MXC47" s="110"/>
      <c r="MXE47"/>
      <c r="MXG47" s="110"/>
      <c r="MXI47"/>
      <c r="MXK47" s="110"/>
      <c r="MXM47"/>
      <c r="MXO47" s="110"/>
      <c r="MXQ47"/>
      <c r="MXS47" s="110"/>
      <c r="MXU47"/>
      <c r="MXW47" s="110"/>
      <c r="MXY47"/>
      <c r="MYA47" s="110"/>
      <c r="MYC47"/>
      <c r="MYE47" s="110"/>
      <c r="MYG47"/>
      <c r="MYI47" s="110"/>
      <c r="MYK47"/>
      <c r="MYM47" s="110"/>
      <c r="MYO47"/>
      <c r="MYQ47" s="110"/>
      <c r="MYS47"/>
      <c r="MYU47" s="110"/>
      <c r="MYW47"/>
      <c r="MYY47" s="110"/>
      <c r="MZA47"/>
      <c r="MZC47" s="110"/>
      <c r="MZE47"/>
      <c r="MZG47" s="110"/>
      <c r="MZI47"/>
      <c r="MZK47" s="110"/>
      <c r="MZM47"/>
      <c r="MZO47" s="110"/>
      <c r="MZQ47"/>
      <c r="MZS47" s="110"/>
      <c r="MZU47"/>
      <c r="MZW47" s="110"/>
      <c r="MZY47"/>
      <c r="NAA47" s="110"/>
      <c r="NAC47"/>
      <c r="NAE47" s="110"/>
      <c r="NAG47"/>
      <c r="NAI47" s="110"/>
      <c r="NAK47"/>
      <c r="NAM47" s="110"/>
      <c r="NAO47"/>
      <c r="NAQ47" s="110"/>
      <c r="NAS47"/>
      <c r="NAU47" s="110"/>
      <c r="NAW47"/>
      <c r="NAY47" s="110"/>
      <c r="NBA47"/>
      <c r="NBC47" s="110"/>
      <c r="NBE47"/>
      <c r="NBG47" s="110"/>
      <c r="NBI47"/>
      <c r="NBK47" s="110"/>
      <c r="NBM47"/>
      <c r="NBO47" s="110"/>
      <c r="NBQ47"/>
      <c r="NBS47" s="110"/>
      <c r="NBU47"/>
      <c r="NBW47" s="110"/>
      <c r="NBY47"/>
      <c r="NCA47" s="110"/>
      <c r="NCC47"/>
      <c r="NCE47" s="110"/>
      <c r="NCG47"/>
      <c r="NCI47" s="110"/>
      <c r="NCK47"/>
      <c r="NCM47" s="110"/>
      <c r="NCO47"/>
      <c r="NCQ47" s="110"/>
      <c r="NCS47"/>
      <c r="NCU47" s="110"/>
      <c r="NCW47"/>
      <c r="NCY47" s="110"/>
      <c r="NDA47"/>
      <c r="NDC47" s="110"/>
      <c r="NDE47"/>
      <c r="NDG47" s="110"/>
      <c r="NDI47"/>
      <c r="NDK47" s="110"/>
      <c r="NDM47"/>
      <c r="NDO47" s="110"/>
      <c r="NDQ47"/>
      <c r="NDS47" s="110"/>
      <c r="NDU47"/>
      <c r="NDW47" s="110"/>
      <c r="NDY47"/>
      <c r="NEA47" s="110"/>
      <c r="NEC47"/>
      <c r="NEE47" s="110"/>
      <c r="NEG47"/>
      <c r="NEI47" s="110"/>
      <c r="NEK47"/>
      <c r="NEM47" s="110"/>
      <c r="NEO47"/>
      <c r="NEQ47" s="110"/>
      <c r="NES47"/>
      <c r="NEU47" s="110"/>
      <c r="NEW47"/>
      <c r="NEY47" s="110"/>
      <c r="NFA47"/>
      <c r="NFC47" s="110"/>
      <c r="NFE47"/>
      <c r="NFG47" s="110"/>
      <c r="NFI47"/>
      <c r="NFK47" s="110"/>
      <c r="NFM47"/>
      <c r="NFO47" s="110"/>
      <c r="NFQ47"/>
      <c r="NFS47" s="110"/>
      <c r="NFU47"/>
      <c r="NFW47" s="110"/>
      <c r="NFY47"/>
      <c r="NGA47" s="110"/>
      <c r="NGC47"/>
      <c r="NGE47" s="110"/>
      <c r="NGG47"/>
      <c r="NGI47" s="110"/>
      <c r="NGK47"/>
      <c r="NGM47" s="110"/>
      <c r="NGO47"/>
      <c r="NGQ47" s="110"/>
      <c r="NGS47"/>
      <c r="NGU47" s="110"/>
      <c r="NGW47"/>
      <c r="NGY47" s="110"/>
      <c r="NHA47"/>
      <c r="NHC47" s="110"/>
      <c r="NHE47"/>
      <c r="NHG47" s="110"/>
      <c r="NHI47"/>
      <c r="NHK47" s="110"/>
      <c r="NHM47"/>
      <c r="NHO47" s="110"/>
      <c r="NHQ47"/>
      <c r="NHS47" s="110"/>
      <c r="NHU47"/>
      <c r="NHW47" s="110"/>
      <c r="NHY47"/>
      <c r="NIA47" s="110"/>
      <c r="NIC47"/>
      <c r="NIE47" s="110"/>
      <c r="NIG47"/>
      <c r="NII47" s="110"/>
      <c r="NIK47"/>
      <c r="NIM47" s="110"/>
      <c r="NIO47"/>
      <c r="NIQ47" s="110"/>
      <c r="NIS47"/>
      <c r="NIU47" s="110"/>
      <c r="NIW47"/>
      <c r="NIY47" s="110"/>
      <c r="NJA47"/>
      <c r="NJC47" s="110"/>
      <c r="NJE47"/>
      <c r="NJG47" s="110"/>
      <c r="NJI47"/>
      <c r="NJK47" s="110"/>
      <c r="NJM47"/>
      <c r="NJO47" s="110"/>
      <c r="NJQ47"/>
      <c r="NJS47" s="110"/>
      <c r="NJU47"/>
      <c r="NJW47" s="110"/>
      <c r="NJY47"/>
      <c r="NKA47" s="110"/>
      <c r="NKC47"/>
      <c r="NKE47" s="110"/>
      <c r="NKG47"/>
      <c r="NKI47" s="110"/>
      <c r="NKK47"/>
      <c r="NKM47" s="110"/>
      <c r="NKO47"/>
      <c r="NKQ47" s="110"/>
      <c r="NKS47"/>
      <c r="NKU47" s="110"/>
      <c r="NKW47"/>
      <c r="NKY47" s="110"/>
      <c r="NLA47"/>
      <c r="NLC47" s="110"/>
      <c r="NLE47"/>
      <c r="NLG47" s="110"/>
      <c r="NLI47"/>
      <c r="NLK47" s="110"/>
      <c r="NLM47"/>
      <c r="NLO47" s="110"/>
      <c r="NLQ47"/>
      <c r="NLS47" s="110"/>
      <c r="NLU47"/>
      <c r="NLW47" s="110"/>
      <c r="NLY47"/>
      <c r="NMA47" s="110"/>
      <c r="NMC47"/>
      <c r="NME47" s="110"/>
      <c r="NMG47"/>
      <c r="NMI47" s="110"/>
      <c r="NMK47"/>
      <c r="NMM47" s="110"/>
      <c r="NMO47"/>
      <c r="NMQ47" s="110"/>
      <c r="NMS47"/>
      <c r="NMU47" s="110"/>
      <c r="NMW47"/>
      <c r="NMY47" s="110"/>
      <c r="NNA47"/>
      <c r="NNC47" s="110"/>
      <c r="NNE47"/>
      <c r="NNG47" s="110"/>
      <c r="NNI47"/>
      <c r="NNK47" s="110"/>
      <c r="NNM47"/>
      <c r="NNO47" s="110"/>
      <c r="NNQ47"/>
      <c r="NNS47" s="110"/>
      <c r="NNU47"/>
      <c r="NNW47" s="110"/>
      <c r="NNY47"/>
      <c r="NOA47" s="110"/>
      <c r="NOC47"/>
      <c r="NOE47" s="110"/>
      <c r="NOG47"/>
      <c r="NOI47" s="110"/>
      <c r="NOK47"/>
      <c r="NOM47" s="110"/>
      <c r="NOO47"/>
      <c r="NOQ47" s="110"/>
      <c r="NOS47"/>
      <c r="NOU47" s="110"/>
      <c r="NOW47"/>
      <c r="NOY47" s="110"/>
      <c r="NPA47"/>
      <c r="NPC47" s="110"/>
      <c r="NPE47"/>
      <c r="NPG47" s="110"/>
      <c r="NPI47"/>
      <c r="NPK47" s="110"/>
      <c r="NPM47"/>
      <c r="NPO47" s="110"/>
      <c r="NPQ47"/>
      <c r="NPS47" s="110"/>
      <c r="NPU47"/>
      <c r="NPW47" s="110"/>
      <c r="NPY47"/>
      <c r="NQA47" s="110"/>
      <c r="NQC47"/>
      <c r="NQE47" s="110"/>
      <c r="NQG47"/>
      <c r="NQI47" s="110"/>
      <c r="NQK47"/>
      <c r="NQM47" s="110"/>
      <c r="NQO47"/>
      <c r="NQQ47" s="110"/>
      <c r="NQS47"/>
      <c r="NQU47" s="110"/>
      <c r="NQW47"/>
      <c r="NQY47" s="110"/>
      <c r="NRA47"/>
      <c r="NRC47" s="110"/>
      <c r="NRE47"/>
      <c r="NRG47" s="110"/>
      <c r="NRI47"/>
      <c r="NRK47" s="110"/>
      <c r="NRM47"/>
      <c r="NRO47" s="110"/>
      <c r="NRQ47"/>
      <c r="NRS47" s="110"/>
      <c r="NRU47"/>
      <c r="NRW47" s="110"/>
      <c r="NRY47"/>
      <c r="NSA47" s="110"/>
      <c r="NSC47"/>
      <c r="NSE47" s="110"/>
      <c r="NSG47"/>
      <c r="NSI47" s="110"/>
      <c r="NSK47"/>
      <c r="NSM47" s="110"/>
      <c r="NSO47"/>
      <c r="NSQ47" s="110"/>
      <c r="NSS47"/>
      <c r="NSU47" s="110"/>
      <c r="NSW47"/>
      <c r="NSY47" s="110"/>
      <c r="NTA47"/>
      <c r="NTC47" s="110"/>
      <c r="NTE47"/>
      <c r="NTG47" s="110"/>
      <c r="NTI47"/>
      <c r="NTK47" s="110"/>
      <c r="NTM47"/>
      <c r="NTO47" s="110"/>
      <c r="NTQ47"/>
      <c r="NTS47" s="110"/>
      <c r="NTU47"/>
      <c r="NTW47" s="110"/>
      <c r="NTY47"/>
      <c r="NUA47" s="110"/>
      <c r="NUC47"/>
      <c r="NUE47" s="110"/>
      <c r="NUG47"/>
      <c r="NUI47" s="110"/>
      <c r="NUK47"/>
      <c r="NUM47" s="110"/>
      <c r="NUO47"/>
      <c r="NUQ47" s="110"/>
      <c r="NUS47"/>
      <c r="NUU47" s="110"/>
      <c r="NUW47"/>
      <c r="NUY47" s="110"/>
      <c r="NVA47"/>
      <c r="NVC47" s="110"/>
      <c r="NVE47"/>
      <c r="NVG47" s="110"/>
      <c r="NVI47"/>
      <c r="NVK47" s="110"/>
      <c r="NVM47"/>
      <c r="NVO47" s="110"/>
      <c r="NVQ47"/>
      <c r="NVS47" s="110"/>
      <c r="NVU47"/>
      <c r="NVW47" s="110"/>
      <c r="NVY47"/>
      <c r="NWA47" s="110"/>
      <c r="NWC47"/>
      <c r="NWE47" s="110"/>
      <c r="NWG47"/>
      <c r="NWI47" s="110"/>
      <c r="NWK47"/>
      <c r="NWM47" s="110"/>
      <c r="NWO47"/>
      <c r="NWQ47" s="110"/>
      <c r="NWS47"/>
      <c r="NWU47" s="110"/>
      <c r="NWW47"/>
      <c r="NWY47" s="110"/>
      <c r="NXA47"/>
      <c r="NXC47" s="110"/>
      <c r="NXE47"/>
      <c r="NXG47" s="110"/>
      <c r="NXI47"/>
      <c r="NXK47" s="110"/>
      <c r="NXM47"/>
      <c r="NXO47" s="110"/>
      <c r="NXQ47"/>
      <c r="NXS47" s="110"/>
      <c r="NXU47"/>
      <c r="NXW47" s="110"/>
      <c r="NXY47"/>
      <c r="NYA47" s="110"/>
      <c r="NYC47"/>
      <c r="NYE47" s="110"/>
      <c r="NYG47"/>
      <c r="NYI47" s="110"/>
      <c r="NYK47"/>
      <c r="NYM47" s="110"/>
      <c r="NYO47"/>
      <c r="NYQ47" s="110"/>
      <c r="NYS47"/>
      <c r="NYU47" s="110"/>
      <c r="NYW47"/>
      <c r="NYY47" s="110"/>
      <c r="NZA47"/>
      <c r="NZC47" s="110"/>
      <c r="NZE47"/>
      <c r="NZG47" s="110"/>
      <c r="NZI47"/>
      <c r="NZK47" s="110"/>
      <c r="NZM47"/>
      <c r="NZO47" s="110"/>
      <c r="NZQ47"/>
      <c r="NZS47" s="110"/>
      <c r="NZU47"/>
      <c r="NZW47" s="110"/>
      <c r="NZY47"/>
      <c r="OAA47" s="110"/>
      <c r="OAC47"/>
      <c r="OAE47" s="110"/>
      <c r="OAG47"/>
      <c r="OAI47" s="110"/>
      <c r="OAK47"/>
      <c r="OAM47" s="110"/>
      <c r="OAO47"/>
      <c r="OAQ47" s="110"/>
      <c r="OAS47"/>
      <c r="OAU47" s="110"/>
      <c r="OAW47"/>
      <c r="OAY47" s="110"/>
      <c r="OBA47"/>
      <c r="OBC47" s="110"/>
      <c r="OBE47"/>
      <c r="OBG47" s="110"/>
      <c r="OBI47"/>
      <c r="OBK47" s="110"/>
      <c r="OBM47"/>
      <c r="OBO47" s="110"/>
      <c r="OBQ47"/>
      <c r="OBS47" s="110"/>
      <c r="OBU47"/>
      <c r="OBW47" s="110"/>
      <c r="OBY47"/>
      <c r="OCA47" s="110"/>
      <c r="OCC47"/>
      <c r="OCE47" s="110"/>
      <c r="OCG47"/>
      <c r="OCI47" s="110"/>
      <c r="OCK47"/>
      <c r="OCM47" s="110"/>
      <c r="OCO47"/>
      <c r="OCQ47" s="110"/>
      <c r="OCS47"/>
      <c r="OCU47" s="110"/>
      <c r="OCW47"/>
      <c r="OCY47" s="110"/>
      <c r="ODA47"/>
      <c r="ODC47" s="110"/>
      <c r="ODE47"/>
      <c r="ODG47" s="110"/>
      <c r="ODI47"/>
      <c r="ODK47" s="110"/>
      <c r="ODM47"/>
      <c r="ODO47" s="110"/>
      <c r="ODQ47"/>
      <c r="ODS47" s="110"/>
      <c r="ODU47"/>
      <c r="ODW47" s="110"/>
      <c r="ODY47"/>
      <c r="OEA47" s="110"/>
      <c r="OEC47"/>
      <c r="OEE47" s="110"/>
      <c r="OEG47"/>
      <c r="OEI47" s="110"/>
      <c r="OEK47"/>
      <c r="OEM47" s="110"/>
      <c r="OEO47"/>
      <c r="OEQ47" s="110"/>
      <c r="OES47"/>
      <c r="OEU47" s="110"/>
      <c r="OEW47"/>
      <c r="OEY47" s="110"/>
      <c r="OFA47"/>
      <c r="OFC47" s="110"/>
      <c r="OFE47"/>
      <c r="OFG47" s="110"/>
      <c r="OFI47"/>
      <c r="OFK47" s="110"/>
      <c r="OFM47"/>
      <c r="OFO47" s="110"/>
      <c r="OFQ47"/>
      <c r="OFS47" s="110"/>
      <c r="OFU47"/>
      <c r="OFW47" s="110"/>
      <c r="OFY47"/>
      <c r="OGA47" s="110"/>
      <c r="OGC47"/>
      <c r="OGE47" s="110"/>
      <c r="OGG47"/>
      <c r="OGI47" s="110"/>
      <c r="OGK47"/>
      <c r="OGM47" s="110"/>
      <c r="OGO47"/>
      <c r="OGQ47" s="110"/>
      <c r="OGS47"/>
      <c r="OGU47" s="110"/>
      <c r="OGW47"/>
      <c r="OGY47" s="110"/>
      <c r="OHA47"/>
      <c r="OHC47" s="110"/>
      <c r="OHE47"/>
      <c r="OHG47" s="110"/>
      <c r="OHI47"/>
      <c r="OHK47" s="110"/>
      <c r="OHM47"/>
      <c r="OHO47" s="110"/>
      <c r="OHQ47"/>
      <c r="OHS47" s="110"/>
      <c r="OHU47"/>
      <c r="OHW47" s="110"/>
      <c r="OHY47"/>
      <c r="OIA47" s="110"/>
      <c r="OIC47"/>
      <c r="OIE47" s="110"/>
      <c r="OIG47"/>
      <c r="OII47" s="110"/>
      <c r="OIK47"/>
      <c r="OIM47" s="110"/>
      <c r="OIO47"/>
      <c r="OIQ47" s="110"/>
      <c r="OIS47"/>
      <c r="OIU47" s="110"/>
      <c r="OIW47"/>
      <c r="OIY47" s="110"/>
      <c r="OJA47"/>
      <c r="OJC47" s="110"/>
      <c r="OJE47"/>
      <c r="OJG47" s="110"/>
      <c r="OJI47"/>
      <c r="OJK47" s="110"/>
      <c r="OJM47"/>
      <c r="OJO47" s="110"/>
      <c r="OJQ47"/>
      <c r="OJS47" s="110"/>
      <c r="OJU47"/>
      <c r="OJW47" s="110"/>
      <c r="OJY47"/>
      <c r="OKA47" s="110"/>
      <c r="OKC47"/>
      <c r="OKE47" s="110"/>
      <c r="OKG47"/>
      <c r="OKI47" s="110"/>
      <c r="OKK47"/>
      <c r="OKM47" s="110"/>
      <c r="OKO47"/>
      <c r="OKQ47" s="110"/>
      <c r="OKS47"/>
      <c r="OKU47" s="110"/>
      <c r="OKW47"/>
      <c r="OKY47" s="110"/>
      <c r="OLA47"/>
      <c r="OLC47" s="110"/>
      <c r="OLE47"/>
      <c r="OLG47" s="110"/>
      <c r="OLI47"/>
      <c r="OLK47" s="110"/>
      <c r="OLM47"/>
      <c r="OLO47" s="110"/>
      <c r="OLQ47"/>
      <c r="OLS47" s="110"/>
      <c r="OLU47"/>
      <c r="OLW47" s="110"/>
      <c r="OLY47"/>
      <c r="OMA47" s="110"/>
      <c r="OMC47"/>
      <c r="OME47" s="110"/>
      <c r="OMG47"/>
      <c r="OMI47" s="110"/>
      <c r="OMK47"/>
      <c r="OMM47" s="110"/>
      <c r="OMO47"/>
      <c r="OMQ47" s="110"/>
      <c r="OMS47"/>
      <c r="OMU47" s="110"/>
      <c r="OMW47"/>
      <c r="OMY47" s="110"/>
      <c r="ONA47"/>
      <c r="ONC47" s="110"/>
      <c r="ONE47"/>
      <c r="ONG47" s="110"/>
      <c r="ONI47"/>
      <c r="ONK47" s="110"/>
      <c r="ONM47"/>
      <c r="ONO47" s="110"/>
      <c r="ONQ47"/>
      <c r="ONS47" s="110"/>
      <c r="ONU47"/>
      <c r="ONW47" s="110"/>
      <c r="ONY47"/>
      <c r="OOA47" s="110"/>
      <c r="OOC47"/>
      <c r="OOE47" s="110"/>
      <c r="OOG47"/>
      <c r="OOI47" s="110"/>
      <c r="OOK47"/>
      <c r="OOM47" s="110"/>
      <c r="OOO47"/>
      <c r="OOQ47" s="110"/>
      <c r="OOS47"/>
      <c r="OOU47" s="110"/>
      <c r="OOW47"/>
      <c r="OOY47" s="110"/>
      <c r="OPA47"/>
      <c r="OPC47" s="110"/>
      <c r="OPE47"/>
      <c r="OPG47" s="110"/>
      <c r="OPI47"/>
      <c r="OPK47" s="110"/>
      <c r="OPM47"/>
      <c r="OPO47" s="110"/>
      <c r="OPQ47"/>
      <c r="OPS47" s="110"/>
      <c r="OPU47"/>
      <c r="OPW47" s="110"/>
      <c r="OPY47"/>
      <c r="OQA47" s="110"/>
      <c r="OQC47"/>
      <c r="OQE47" s="110"/>
      <c r="OQG47"/>
      <c r="OQI47" s="110"/>
      <c r="OQK47"/>
      <c r="OQM47" s="110"/>
      <c r="OQO47"/>
      <c r="OQQ47" s="110"/>
      <c r="OQS47"/>
      <c r="OQU47" s="110"/>
      <c r="OQW47"/>
      <c r="OQY47" s="110"/>
      <c r="ORA47"/>
      <c r="ORC47" s="110"/>
      <c r="ORE47"/>
      <c r="ORG47" s="110"/>
      <c r="ORI47"/>
      <c r="ORK47" s="110"/>
      <c r="ORM47"/>
      <c r="ORO47" s="110"/>
      <c r="ORQ47"/>
      <c r="ORS47" s="110"/>
      <c r="ORU47"/>
      <c r="ORW47" s="110"/>
      <c r="ORY47"/>
      <c r="OSA47" s="110"/>
      <c r="OSC47"/>
      <c r="OSE47" s="110"/>
      <c r="OSG47"/>
      <c r="OSI47" s="110"/>
      <c r="OSK47"/>
      <c r="OSM47" s="110"/>
      <c r="OSO47"/>
      <c r="OSQ47" s="110"/>
      <c r="OSS47"/>
      <c r="OSU47" s="110"/>
      <c r="OSW47"/>
      <c r="OSY47" s="110"/>
      <c r="OTA47"/>
      <c r="OTC47" s="110"/>
      <c r="OTE47"/>
      <c r="OTG47" s="110"/>
      <c r="OTI47"/>
      <c r="OTK47" s="110"/>
      <c r="OTM47"/>
      <c r="OTO47" s="110"/>
      <c r="OTQ47"/>
      <c r="OTS47" s="110"/>
      <c r="OTU47"/>
      <c r="OTW47" s="110"/>
      <c r="OTY47"/>
      <c r="OUA47" s="110"/>
      <c r="OUC47"/>
      <c r="OUE47" s="110"/>
      <c r="OUG47"/>
      <c r="OUI47" s="110"/>
      <c r="OUK47"/>
      <c r="OUM47" s="110"/>
      <c r="OUO47"/>
      <c r="OUQ47" s="110"/>
      <c r="OUS47"/>
      <c r="OUU47" s="110"/>
      <c r="OUW47"/>
      <c r="OUY47" s="110"/>
      <c r="OVA47"/>
      <c r="OVC47" s="110"/>
      <c r="OVE47"/>
      <c r="OVG47" s="110"/>
      <c r="OVI47"/>
      <c r="OVK47" s="110"/>
      <c r="OVM47"/>
      <c r="OVO47" s="110"/>
      <c r="OVQ47"/>
      <c r="OVS47" s="110"/>
      <c r="OVU47"/>
      <c r="OVW47" s="110"/>
      <c r="OVY47"/>
      <c r="OWA47" s="110"/>
      <c r="OWC47"/>
      <c r="OWE47" s="110"/>
      <c r="OWG47"/>
      <c r="OWI47" s="110"/>
      <c r="OWK47"/>
      <c r="OWM47" s="110"/>
      <c r="OWO47"/>
      <c r="OWQ47" s="110"/>
      <c r="OWS47"/>
      <c r="OWU47" s="110"/>
      <c r="OWW47"/>
      <c r="OWY47" s="110"/>
      <c r="OXA47"/>
      <c r="OXC47" s="110"/>
      <c r="OXE47"/>
      <c r="OXG47" s="110"/>
      <c r="OXI47"/>
      <c r="OXK47" s="110"/>
      <c r="OXM47"/>
      <c r="OXO47" s="110"/>
      <c r="OXQ47"/>
      <c r="OXS47" s="110"/>
      <c r="OXU47"/>
      <c r="OXW47" s="110"/>
      <c r="OXY47"/>
      <c r="OYA47" s="110"/>
      <c r="OYC47"/>
      <c r="OYE47" s="110"/>
      <c r="OYG47"/>
      <c r="OYI47" s="110"/>
      <c r="OYK47"/>
      <c r="OYM47" s="110"/>
      <c r="OYO47"/>
      <c r="OYQ47" s="110"/>
      <c r="OYS47"/>
      <c r="OYU47" s="110"/>
      <c r="OYW47"/>
      <c r="OYY47" s="110"/>
      <c r="OZA47"/>
      <c r="OZC47" s="110"/>
      <c r="OZE47"/>
      <c r="OZG47" s="110"/>
      <c r="OZI47"/>
      <c r="OZK47" s="110"/>
      <c r="OZM47"/>
      <c r="OZO47" s="110"/>
      <c r="OZQ47"/>
      <c r="OZS47" s="110"/>
      <c r="OZU47"/>
      <c r="OZW47" s="110"/>
      <c r="OZY47"/>
      <c r="PAA47" s="110"/>
      <c r="PAC47"/>
      <c r="PAE47" s="110"/>
      <c r="PAG47"/>
      <c r="PAI47" s="110"/>
      <c r="PAK47"/>
      <c r="PAM47" s="110"/>
      <c r="PAO47"/>
      <c r="PAQ47" s="110"/>
      <c r="PAS47"/>
      <c r="PAU47" s="110"/>
      <c r="PAW47"/>
      <c r="PAY47" s="110"/>
      <c r="PBA47"/>
      <c r="PBC47" s="110"/>
      <c r="PBE47"/>
      <c r="PBG47" s="110"/>
      <c r="PBI47"/>
      <c r="PBK47" s="110"/>
      <c r="PBM47"/>
      <c r="PBO47" s="110"/>
      <c r="PBQ47"/>
      <c r="PBS47" s="110"/>
      <c r="PBU47"/>
      <c r="PBW47" s="110"/>
      <c r="PBY47"/>
      <c r="PCA47" s="110"/>
      <c r="PCC47"/>
      <c r="PCE47" s="110"/>
      <c r="PCG47"/>
      <c r="PCI47" s="110"/>
      <c r="PCK47"/>
      <c r="PCM47" s="110"/>
      <c r="PCO47"/>
      <c r="PCQ47" s="110"/>
      <c r="PCS47"/>
      <c r="PCU47" s="110"/>
      <c r="PCW47"/>
      <c r="PCY47" s="110"/>
      <c r="PDA47"/>
      <c r="PDC47" s="110"/>
      <c r="PDE47"/>
      <c r="PDG47" s="110"/>
      <c r="PDI47"/>
      <c r="PDK47" s="110"/>
      <c r="PDM47"/>
      <c r="PDO47" s="110"/>
      <c r="PDQ47"/>
      <c r="PDS47" s="110"/>
      <c r="PDU47"/>
      <c r="PDW47" s="110"/>
      <c r="PDY47"/>
      <c r="PEA47" s="110"/>
      <c r="PEC47"/>
      <c r="PEE47" s="110"/>
      <c r="PEG47"/>
      <c r="PEI47" s="110"/>
      <c r="PEK47"/>
      <c r="PEM47" s="110"/>
      <c r="PEO47"/>
      <c r="PEQ47" s="110"/>
      <c r="PES47"/>
      <c r="PEU47" s="110"/>
      <c r="PEW47"/>
      <c r="PEY47" s="110"/>
      <c r="PFA47"/>
      <c r="PFC47" s="110"/>
      <c r="PFE47"/>
      <c r="PFG47" s="110"/>
      <c r="PFI47"/>
      <c r="PFK47" s="110"/>
      <c r="PFM47"/>
      <c r="PFO47" s="110"/>
      <c r="PFQ47"/>
      <c r="PFS47" s="110"/>
      <c r="PFU47"/>
      <c r="PFW47" s="110"/>
      <c r="PFY47"/>
      <c r="PGA47" s="110"/>
      <c r="PGC47"/>
      <c r="PGE47" s="110"/>
      <c r="PGG47"/>
      <c r="PGI47" s="110"/>
      <c r="PGK47"/>
      <c r="PGM47" s="110"/>
      <c r="PGO47"/>
      <c r="PGQ47" s="110"/>
      <c r="PGS47"/>
      <c r="PGU47" s="110"/>
      <c r="PGW47"/>
      <c r="PGY47" s="110"/>
      <c r="PHA47"/>
      <c r="PHC47" s="110"/>
      <c r="PHE47"/>
      <c r="PHG47" s="110"/>
      <c r="PHI47"/>
      <c r="PHK47" s="110"/>
      <c r="PHM47"/>
      <c r="PHO47" s="110"/>
      <c r="PHQ47"/>
      <c r="PHS47" s="110"/>
      <c r="PHU47"/>
      <c r="PHW47" s="110"/>
      <c r="PHY47"/>
      <c r="PIA47" s="110"/>
      <c r="PIC47"/>
      <c r="PIE47" s="110"/>
      <c r="PIG47"/>
      <c r="PII47" s="110"/>
      <c r="PIK47"/>
      <c r="PIM47" s="110"/>
      <c r="PIO47"/>
      <c r="PIQ47" s="110"/>
      <c r="PIS47"/>
      <c r="PIU47" s="110"/>
      <c r="PIW47"/>
      <c r="PIY47" s="110"/>
      <c r="PJA47"/>
      <c r="PJC47" s="110"/>
      <c r="PJE47"/>
      <c r="PJG47" s="110"/>
      <c r="PJI47"/>
      <c r="PJK47" s="110"/>
      <c r="PJM47"/>
      <c r="PJO47" s="110"/>
      <c r="PJQ47"/>
      <c r="PJS47" s="110"/>
      <c r="PJU47"/>
      <c r="PJW47" s="110"/>
      <c r="PJY47"/>
      <c r="PKA47" s="110"/>
      <c r="PKC47"/>
      <c r="PKE47" s="110"/>
      <c r="PKG47"/>
      <c r="PKI47" s="110"/>
      <c r="PKK47"/>
      <c r="PKM47" s="110"/>
      <c r="PKO47"/>
      <c r="PKQ47" s="110"/>
      <c r="PKS47"/>
      <c r="PKU47" s="110"/>
      <c r="PKW47"/>
      <c r="PKY47" s="110"/>
      <c r="PLA47"/>
      <c r="PLC47" s="110"/>
      <c r="PLE47"/>
      <c r="PLG47" s="110"/>
      <c r="PLI47"/>
      <c r="PLK47" s="110"/>
      <c r="PLM47"/>
      <c r="PLO47" s="110"/>
      <c r="PLQ47"/>
      <c r="PLS47" s="110"/>
      <c r="PLU47"/>
      <c r="PLW47" s="110"/>
      <c r="PLY47"/>
      <c r="PMA47" s="110"/>
      <c r="PMC47"/>
      <c r="PME47" s="110"/>
      <c r="PMG47"/>
      <c r="PMI47" s="110"/>
      <c r="PMK47"/>
      <c r="PMM47" s="110"/>
      <c r="PMO47"/>
      <c r="PMQ47" s="110"/>
      <c r="PMS47"/>
      <c r="PMU47" s="110"/>
      <c r="PMW47"/>
      <c r="PMY47" s="110"/>
      <c r="PNA47"/>
      <c r="PNC47" s="110"/>
      <c r="PNE47"/>
      <c r="PNG47" s="110"/>
      <c r="PNI47"/>
      <c r="PNK47" s="110"/>
      <c r="PNM47"/>
      <c r="PNO47" s="110"/>
      <c r="PNQ47"/>
      <c r="PNS47" s="110"/>
      <c r="PNU47"/>
      <c r="PNW47" s="110"/>
      <c r="PNY47"/>
      <c r="POA47" s="110"/>
      <c r="POC47"/>
      <c r="POE47" s="110"/>
      <c r="POG47"/>
      <c r="POI47" s="110"/>
      <c r="POK47"/>
      <c r="POM47" s="110"/>
      <c r="POO47"/>
      <c r="POQ47" s="110"/>
      <c r="POS47"/>
      <c r="POU47" s="110"/>
      <c r="POW47"/>
      <c r="POY47" s="110"/>
      <c r="PPA47"/>
      <c r="PPC47" s="110"/>
      <c r="PPE47"/>
      <c r="PPG47" s="110"/>
      <c r="PPI47"/>
      <c r="PPK47" s="110"/>
      <c r="PPM47"/>
      <c r="PPO47" s="110"/>
      <c r="PPQ47"/>
      <c r="PPS47" s="110"/>
      <c r="PPU47"/>
      <c r="PPW47" s="110"/>
      <c r="PPY47"/>
      <c r="PQA47" s="110"/>
      <c r="PQC47"/>
      <c r="PQE47" s="110"/>
      <c r="PQG47"/>
      <c r="PQI47" s="110"/>
      <c r="PQK47"/>
      <c r="PQM47" s="110"/>
      <c r="PQO47"/>
      <c r="PQQ47" s="110"/>
      <c r="PQS47"/>
      <c r="PQU47" s="110"/>
      <c r="PQW47"/>
      <c r="PQY47" s="110"/>
      <c r="PRA47"/>
      <c r="PRC47" s="110"/>
      <c r="PRE47"/>
      <c r="PRG47" s="110"/>
      <c r="PRI47"/>
      <c r="PRK47" s="110"/>
      <c r="PRM47"/>
      <c r="PRO47" s="110"/>
      <c r="PRQ47"/>
      <c r="PRS47" s="110"/>
      <c r="PRU47"/>
      <c r="PRW47" s="110"/>
      <c r="PRY47"/>
      <c r="PSA47" s="110"/>
      <c r="PSC47"/>
      <c r="PSE47" s="110"/>
      <c r="PSG47"/>
      <c r="PSI47" s="110"/>
      <c r="PSK47"/>
      <c r="PSM47" s="110"/>
      <c r="PSO47"/>
      <c r="PSQ47" s="110"/>
      <c r="PSS47"/>
      <c r="PSU47" s="110"/>
      <c r="PSW47"/>
      <c r="PSY47" s="110"/>
      <c r="PTA47"/>
      <c r="PTC47" s="110"/>
      <c r="PTE47"/>
      <c r="PTG47" s="110"/>
      <c r="PTI47"/>
      <c r="PTK47" s="110"/>
      <c r="PTM47"/>
      <c r="PTO47" s="110"/>
      <c r="PTQ47"/>
      <c r="PTS47" s="110"/>
      <c r="PTU47"/>
      <c r="PTW47" s="110"/>
      <c r="PTY47"/>
      <c r="PUA47" s="110"/>
      <c r="PUC47"/>
      <c r="PUE47" s="110"/>
      <c r="PUG47"/>
      <c r="PUI47" s="110"/>
      <c r="PUK47"/>
      <c r="PUM47" s="110"/>
      <c r="PUO47"/>
      <c r="PUQ47" s="110"/>
      <c r="PUS47"/>
      <c r="PUU47" s="110"/>
      <c r="PUW47"/>
      <c r="PUY47" s="110"/>
      <c r="PVA47"/>
      <c r="PVC47" s="110"/>
      <c r="PVE47"/>
      <c r="PVG47" s="110"/>
      <c r="PVI47"/>
      <c r="PVK47" s="110"/>
      <c r="PVM47"/>
      <c r="PVO47" s="110"/>
      <c r="PVQ47"/>
      <c r="PVS47" s="110"/>
      <c r="PVU47"/>
      <c r="PVW47" s="110"/>
      <c r="PVY47"/>
      <c r="PWA47" s="110"/>
      <c r="PWC47"/>
      <c r="PWE47" s="110"/>
      <c r="PWG47"/>
      <c r="PWI47" s="110"/>
      <c r="PWK47"/>
      <c r="PWM47" s="110"/>
      <c r="PWO47"/>
      <c r="PWQ47" s="110"/>
      <c r="PWS47"/>
      <c r="PWU47" s="110"/>
      <c r="PWW47"/>
      <c r="PWY47" s="110"/>
      <c r="PXA47"/>
      <c r="PXC47" s="110"/>
      <c r="PXE47"/>
      <c r="PXG47" s="110"/>
      <c r="PXI47"/>
      <c r="PXK47" s="110"/>
      <c r="PXM47"/>
      <c r="PXO47" s="110"/>
      <c r="PXQ47"/>
      <c r="PXS47" s="110"/>
      <c r="PXU47"/>
      <c r="PXW47" s="110"/>
      <c r="PXY47"/>
      <c r="PYA47" s="110"/>
      <c r="PYC47"/>
      <c r="PYE47" s="110"/>
      <c r="PYG47"/>
      <c r="PYI47" s="110"/>
      <c r="PYK47"/>
      <c r="PYM47" s="110"/>
      <c r="PYO47"/>
      <c r="PYQ47" s="110"/>
      <c r="PYS47"/>
      <c r="PYU47" s="110"/>
      <c r="PYW47"/>
      <c r="PYY47" s="110"/>
      <c r="PZA47"/>
      <c r="PZC47" s="110"/>
      <c r="PZE47"/>
      <c r="PZG47" s="110"/>
      <c r="PZI47"/>
      <c r="PZK47" s="110"/>
      <c r="PZM47"/>
      <c r="PZO47" s="110"/>
      <c r="PZQ47"/>
      <c r="PZS47" s="110"/>
      <c r="PZU47"/>
      <c r="PZW47" s="110"/>
      <c r="PZY47"/>
      <c r="QAA47" s="110"/>
      <c r="QAC47"/>
      <c r="QAE47" s="110"/>
      <c r="QAG47"/>
      <c r="QAI47" s="110"/>
      <c r="QAK47"/>
      <c r="QAM47" s="110"/>
      <c r="QAO47"/>
      <c r="QAQ47" s="110"/>
      <c r="QAS47"/>
      <c r="QAU47" s="110"/>
      <c r="QAW47"/>
      <c r="QAY47" s="110"/>
      <c r="QBA47"/>
      <c r="QBC47" s="110"/>
      <c r="QBE47"/>
      <c r="QBG47" s="110"/>
      <c r="QBI47"/>
      <c r="QBK47" s="110"/>
      <c r="QBM47"/>
      <c r="QBO47" s="110"/>
      <c r="QBQ47"/>
      <c r="QBS47" s="110"/>
      <c r="QBU47"/>
      <c r="QBW47" s="110"/>
      <c r="QBY47"/>
      <c r="QCA47" s="110"/>
      <c r="QCC47"/>
      <c r="QCE47" s="110"/>
      <c r="QCG47"/>
      <c r="QCI47" s="110"/>
      <c r="QCK47"/>
      <c r="QCM47" s="110"/>
      <c r="QCO47"/>
      <c r="QCQ47" s="110"/>
      <c r="QCS47"/>
      <c r="QCU47" s="110"/>
      <c r="QCW47"/>
      <c r="QCY47" s="110"/>
      <c r="QDA47"/>
      <c r="QDC47" s="110"/>
      <c r="QDE47"/>
      <c r="QDG47" s="110"/>
      <c r="QDI47"/>
      <c r="QDK47" s="110"/>
      <c r="QDM47"/>
      <c r="QDO47" s="110"/>
      <c r="QDQ47"/>
      <c r="QDS47" s="110"/>
      <c r="QDU47"/>
      <c r="QDW47" s="110"/>
      <c r="QDY47"/>
      <c r="QEA47" s="110"/>
      <c r="QEC47"/>
      <c r="QEE47" s="110"/>
      <c r="QEG47"/>
      <c r="QEI47" s="110"/>
      <c r="QEK47"/>
      <c r="QEM47" s="110"/>
      <c r="QEO47"/>
      <c r="QEQ47" s="110"/>
      <c r="QES47"/>
      <c r="QEU47" s="110"/>
      <c r="QEW47"/>
      <c r="QEY47" s="110"/>
      <c r="QFA47"/>
      <c r="QFC47" s="110"/>
      <c r="QFE47"/>
      <c r="QFG47" s="110"/>
      <c r="QFI47"/>
      <c r="QFK47" s="110"/>
      <c r="QFM47"/>
      <c r="QFO47" s="110"/>
      <c r="QFQ47"/>
      <c r="QFS47" s="110"/>
      <c r="QFU47"/>
      <c r="QFW47" s="110"/>
      <c r="QFY47"/>
      <c r="QGA47" s="110"/>
      <c r="QGC47"/>
      <c r="QGE47" s="110"/>
      <c r="QGG47"/>
      <c r="QGI47" s="110"/>
      <c r="QGK47"/>
      <c r="QGM47" s="110"/>
      <c r="QGO47"/>
      <c r="QGQ47" s="110"/>
      <c r="QGS47"/>
      <c r="QGU47" s="110"/>
      <c r="QGW47"/>
      <c r="QGY47" s="110"/>
      <c r="QHA47"/>
      <c r="QHC47" s="110"/>
      <c r="QHE47"/>
      <c r="QHG47" s="110"/>
      <c r="QHI47"/>
      <c r="QHK47" s="110"/>
      <c r="QHM47"/>
      <c r="QHO47" s="110"/>
      <c r="QHQ47"/>
      <c r="QHS47" s="110"/>
      <c r="QHU47"/>
      <c r="QHW47" s="110"/>
      <c r="QHY47"/>
      <c r="QIA47" s="110"/>
      <c r="QIC47"/>
      <c r="QIE47" s="110"/>
      <c r="QIG47"/>
      <c r="QII47" s="110"/>
      <c r="QIK47"/>
      <c r="QIM47" s="110"/>
      <c r="QIO47"/>
      <c r="QIQ47" s="110"/>
      <c r="QIS47"/>
      <c r="QIU47" s="110"/>
      <c r="QIW47"/>
      <c r="QIY47" s="110"/>
      <c r="QJA47"/>
      <c r="QJC47" s="110"/>
      <c r="QJE47"/>
      <c r="QJG47" s="110"/>
      <c r="QJI47"/>
      <c r="QJK47" s="110"/>
      <c r="QJM47"/>
      <c r="QJO47" s="110"/>
      <c r="QJQ47"/>
      <c r="QJS47" s="110"/>
      <c r="QJU47"/>
      <c r="QJW47" s="110"/>
      <c r="QJY47"/>
      <c r="QKA47" s="110"/>
      <c r="QKC47"/>
      <c r="QKE47" s="110"/>
      <c r="QKG47"/>
      <c r="QKI47" s="110"/>
      <c r="QKK47"/>
      <c r="QKM47" s="110"/>
      <c r="QKO47"/>
      <c r="QKQ47" s="110"/>
      <c r="QKS47"/>
      <c r="QKU47" s="110"/>
      <c r="QKW47"/>
      <c r="QKY47" s="110"/>
      <c r="QLA47"/>
      <c r="QLC47" s="110"/>
      <c r="QLE47"/>
      <c r="QLG47" s="110"/>
      <c r="QLI47"/>
      <c r="QLK47" s="110"/>
      <c r="QLM47"/>
      <c r="QLO47" s="110"/>
      <c r="QLQ47"/>
      <c r="QLS47" s="110"/>
      <c r="QLU47"/>
      <c r="QLW47" s="110"/>
      <c r="QLY47"/>
      <c r="QMA47" s="110"/>
      <c r="QMC47"/>
      <c r="QME47" s="110"/>
      <c r="QMG47"/>
      <c r="QMI47" s="110"/>
      <c r="QMK47"/>
      <c r="QMM47" s="110"/>
      <c r="QMO47"/>
      <c r="QMQ47" s="110"/>
      <c r="QMS47"/>
      <c r="QMU47" s="110"/>
      <c r="QMW47"/>
      <c r="QMY47" s="110"/>
      <c r="QNA47"/>
      <c r="QNC47" s="110"/>
      <c r="QNE47"/>
      <c r="QNG47" s="110"/>
      <c r="QNI47"/>
      <c r="QNK47" s="110"/>
      <c r="QNM47"/>
      <c r="QNO47" s="110"/>
      <c r="QNQ47"/>
      <c r="QNS47" s="110"/>
      <c r="QNU47"/>
      <c r="QNW47" s="110"/>
      <c r="QNY47"/>
      <c r="QOA47" s="110"/>
      <c r="QOC47"/>
      <c r="QOE47" s="110"/>
      <c r="QOG47"/>
      <c r="QOI47" s="110"/>
      <c r="QOK47"/>
      <c r="QOM47" s="110"/>
      <c r="QOO47"/>
      <c r="QOQ47" s="110"/>
      <c r="QOS47"/>
      <c r="QOU47" s="110"/>
      <c r="QOW47"/>
      <c r="QOY47" s="110"/>
      <c r="QPA47"/>
      <c r="QPC47" s="110"/>
      <c r="QPE47"/>
      <c r="QPG47" s="110"/>
      <c r="QPI47"/>
      <c r="QPK47" s="110"/>
      <c r="QPM47"/>
      <c r="QPO47" s="110"/>
      <c r="QPQ47"/>
      <c r="QPS47" s="110"/>
      <c r="QPU47"/>
      <c r="QPW47" s="110"/>
      <c r="QPY47"/>
      <c r="QQA47" s="110"/>
      <c r="QQC47"/>
      <c r="QQE47" s="110"/>
      <c r="QQG47"/>
      <c r="QQI47" s="110"/>
      <c r="QQK47"/>
      <c r="QQM47" s="110"/>
      <c r="QQO47"/>
      <c r="QQQ47" s="110"/>
      <c r="QQS47"/>
      <c r="QQU47" s="110"/>
      <c r="QQW47"/>
      <c r="QQY47" s="110"/>
      <c r="QRA47"/>
      <c r="QRC47" s="110"/>
      <c r="QRE47"/>
      <c r="QRG47" s="110"/>
      <c r="QRI47"/>
      <c r="QRK47" s="110"/>
      <c r="QRM47"/>
      <c r="QRO47" s="110"/>
      <c r="QRQ47"/>
      <c r="QRS47" s="110"/>
      <c r="QRU47"/>
      <c r="QRW47" s="110"/>
      <c r="QRY47"/>
      <c r="QSA47" s="110"/>
      <c r="QSC47"/>
      <c r="QSE47" s="110"/>
      <c r="QSG47"/>
      <c r="QSI47" s="110"/>
      <c r="QSK47"/>
      <c r="QSM47" s="110"/>
      <c r="QSO47"/>
      <c r="QSQ47" s="110"/>
      <c r="QSS47"/>
      <c r="QSU47" s="110"/>
      <c r="QSW47"/>
      <c r="QSY47" s="110"/>
      <c r="QTA47"/>
      <c r="QTC47" s="110"/>
      <c r="QTE47"/>
      <c r="QTG47" s="110"/>
      <c r="QTI47"/>
      <c r="QTK47" s="110"/>
      <c r="QTM47"/>
      <c r="QTO47" s="110"/>
      <c r="QTQ47"/>
      <c r="QTS47" s="110"/>
      <c r="QTU47"/>
      <c r="QTW47" s="110"/>
      <c r="QTY47"/>
      <c r="QUA47" s="110"/>
      <c r="QUC47"/>
      <c r="QUE47" s="110"/>
      <c r="QUG47"/>
      <c r="QUI47" s="110"/>
      <c r="QUK47"/>
      <c r="QUM47" s="110"/>
      <c r="QUO47"/>
      <c r="QUQ47" s="110"/>
      <c r="QUS47"/>
      <c r="QUU47" s="110"/>
      <c r="QUW47"/>
      <c r="QUY47" s="110"/>
      <c r="QVA47"/>
      <c r="QVC47" s="110"/>
      <c r="QVE47"/>
      <c r="QVG47" s="110"/>
      <c r="QVI47"/>
      <c r="QVK47" s="110"/>
      <c r="QVM47"/>
      <c r="QVO47" s="110"/>
      <c r="QVQ47"/>
      <c r="QVS47" s="110"/>
      <c r="QVU47"/>
      <c r="QVW47" s="110"/>
      <c r="QVY47"/>
      <c r="QWA47" s="110"/>
      <c r="QWC47"/>
      <c r="QWE47" s="110"/>
      <c r="QWG47"/>
      <c r="QWI47" s="110"/>
      <c r="QWK47"/>
      <c r="QWM47" s="110"/>
      <c r="QWO47"/>
      <c r="QWQ47" s="110"/>
      <c r="QWS47"/>
      <c r="QWU47" s="110"/>
      <c r="QWW47"/>
      <c r="QWY47" s="110"/>
      <c r="QXA47"/>
      <c r="QXC47" s="110"/>
      <c r="QXE47"/>
      <c r="QXG47" s="110"/>
      <c r="QXI47"/>
      <c r="QXK47" s="110"/>
      <c r="QXM47"/>
      <c r="QXO47" s="110"/>
      <c r="QXQ47"/>
      <c r="QXS47" s="110"/>
      <c r="QXU47"/>
      <c r="QXW47" s="110"/>
      <c r="QXY47"/>
      <c r="QYA47" s="110"/>
      <c r="QYC47"/>
      <c r="QYE47" s="110"/>
      <c r="QYG47"/>
      <c r="QYI47" s="110"/>
      <c r="QYK47"/>
      <c r="QYM47" s="110"/>
      <c r="QYO47"/>
      <c r="QYQ47" s="110"/>
      <c r="QYS47"/>
      <c r="QYU47" s="110"/>
      <c r="QYW47"/>
      <c r="QYY47" s="110"/>
      <c r="QZA47"/>
      <c r="QZC47" s="110"/>
      <c r="QZE47"/>
      <c r="QZG47" s="110"/>
      <c r="QZI47"/>
      <c r="QZK47" s="110"/>
      <c r="QZM47"/>
      <c r="QZO47" s="110"/>
      <c r="QZQ47"/>
      <c r="QZS47" s="110"/>
      <c r="QZU47"/>
      <c r="QZW47" s="110"/>
      <c r="QZY47"/>
      <c r="RAA47" s="110"/>
      <c r="RAC47"/>
      <c r="RAE47" s="110"/>
      <c r="RAG47"/>
      <c r="RAI47" s="110"/>
      <c r="RAK47"/>
      <c r="RAM47" s="110"/>
      <c r="RAO47"/>
      <c r="RAQ47" s="110"/>
      <c r="RAS47"/>
      <c r="RAU47" s="110"/>
      <c r="RAW47"/>
      <c r="RAY47" s="110"/>
      <c r="RBA47"/>
      <c r="RBC47" s="110"/>
      <c r="RBE47"/>
      <c r="RBG47" s="110"/>
      <c r="RBI47"/>
      <c r="RBK47" s="110"/>
      <c r="RBM47"/>
      <c r="RBO47" s="110"/>
      <c r="RBQ47"/>
      <c r="RBS47" s="110"/>
      <c r="RBU47"/>
      <c r="RBW47" s="110"/>
      <c r="RBY47"/>
      <c r="RCA47" s="110"/>
      <c r="RCC47"/>
      <c r="RCE47" s="110"/>
      <c r="RCG47"/>
      <c r="RCI47" s="110"/>
      <c r="RCK47"/>
      <c r="RCM47" s="110"/>
      <c r="RCO47"/>
      <c r="RCQ47" s="110"/>
      <c r="RCS47"/>
      <c r="RCU47" s="110"/>
      <c r="RCW47"/>
      <c r="RCY47" s="110"/>
      <c r="RDA47"/>
      <c r="RDC47" s="110"/>
      <c r="RDE47"/>
      <c r="RDG47" s="110"/>
      <c r="RDI47"/>
      <c r="RDK47" s="110"/>
      <c r="RDM47"/>
      <c r="RDO47" s="110"/>
      <c r="RDQ47"/>
      <c r="RDS47" s="110"/>
      <c r="RDU47"/>
      <c r="RDW47" s="110"/>
      <c r="RDY47"/>
      <c r="REA47" s="110"/>
      <c r="REC47"/>
      <c r="REE47" s="110"/>
      <c r="REG47"/>
      <c r="REI47" s="110"/>
      <c r="REK47"/>
      <c r="REM47" s="110"/>
      <c r="REO47"/>
      <c r="REQ47" s="110"/>
      <c r="RES47"/>
      <c r="REU47" s="110"/>
      <c r="REW47"/>
      <c r="REY47" s="110"/>
      <c r="RFA47"/>
      <c r="RFC47" s="110"/>
      <c r="RFE47"/>
      <c r="RFG47" s="110"/>
      <c r="RFI47"/>
      <c r="RFK47" s="110"/>
      <c r="RFM47"/>
      <c r="RFO47" s="110"/>
      <c r="RFQ47"/>
      <c r="RFS47" s="110"/>
      <c r="RFU47"/>
      <c r="RFW47" s="110"/>
      <c r="RFY47"/>
      <c r="RGA47" s="110"/>
      <c r="RGC47"/>
      <c r="RGE47" s="110"/>
      <c r="RGG47"/>
      <c r="RGI47" s="110"/>
      <c r="RGK47"/>
      <c r="RGM47" s="110"/>
      <c r="RGO47"/>
      <c r="RGQ47" s="110"/>
      <c r="RGS47"/>
      <c r="RGU47" s="110"/>
      <c r="RGW47"/>
      <c r="RGY47" s="110"/>
      <c r="RHA47"/>
      <c r="RHC47" s="110"/>
      <c r="RHE47"/>
      <c r="RHG47" s="110"/>
      <c r="RHI47"/>
      <c r="RHK47" s="110"/>
      <c r="RHM47"/>
      <c r="RHO47" s="110"/>
      <c r="RHQ47"/>
      <c r="RHS47" s="110"/>
      <c r="RHU47"/>
      <c r="RHW47" s="110"/>
      <c r="RHY47"/>
      <c r="RIA47" s="110"/>
      <c r="RIC47"/>
      <c r="RIE47" s="110"/>
      <c r="RIG47"/>
      <c r="RII47" s="110"/>
      <c r="RIK47"/>
      <c r="RIM47" s="110"/>
      <c r="RIO47"/>
      <c r="RIQ47" s="110"/>
      <c r="RIS47"/>
      <c r="RIU47" s="110"/>
      <c r="RIW47"/>
      <c r="RIY47" s="110"/>
      <c r="RJA47"/>
      <c r="RJC47" s="110"/>
      <c r="RJE47"/>
      <c r="RJG47" s="110"/>
      <c r="RJI47"/>
      <c r="RJK47" s="110"/>
      <c r="RJM47"/>
      <c r="RJO47" s="110"/>
      <c r="RJQ47"/>
      <c r="RJS47" s="110"/>
      <c r="RJU47"/>
      <c r="RJW47" s="110"/>
      <c r="RJY47"/>
      <c r="RKA47" s="110"/>
      <c r="RKC47"/>
      <c r="RKE47" s="110"/>
      <c r="RKG47"/>
      <c r="RKI47" s="110"/>
      <c r="RKK47"/>
      <c r="RKM47" s="110"/>
      <c r="RKO47"/>
      <c r="RKQ47" s="110"/>
      <c r="RKS47"/>
      <c r="RKU47" s="110"/>
      <c r="RKW47"/>
      <c r="RKY47" s="110"/>
      <c r="RLA47"/>
      <c r="RLC47" s="110"/>
      <c r="RLE47"/>
      <c r="RLG47" s="110"/>
      <c r="RLI47"/>
      <c r="RLK47" s="110"/>
      <c r="RLM47"/>
      <c r="RLO47" s="110"/>
      <c r="RLQ47"/>
      <c r="RLS47" s="110"/>
      <c r="RLU47"/>
      <c r="RLW47" s="110"/>
      <c r="RLY47"/>
      <c r="RMA47" s="110"/>
      <c r="RMC47"/>
      <c r="RME47" s="110"/>
      <c r="RMG47"/>
      <c r="RMI47" s="110"/>
      <c r="RMK47"/>
      <c r="RMM47" s="110"/>
      <c r="RMO47"/>
      <c r="RMQ47" s="110"/>
      <c r="RMS47"/>
      <c r="RMU47" s="110"/>
      <c r="RMW47"/>
      <c r="RMY47" s="110"/>
      <c r="RNA47"/>
      <c r="RNC47" s="110"/>
      <c r="RNE47"/>
      <c r="RNG47" s="110"/>
      <c r="RNI47"/>
      <c r="RNK47" s="110"/>
      <c r="RNM47"/>
      <c r="RNO47" s="110"/>
      <c r="RNQ47"/>
      <c r="RNS47" s="110"/>
      <c r="RNU47"/>
      <c r="RNW47" s="110"/>
      <c r="RNY47"/>
      <c r="ROA47" s="110"/>
      <c r="ROC47"/>
      <c r="ROE47" s="110"/>
      <c r="ROG47"/>
      <c r="ROI47" s="110"/>
      <c r="ROK47"/>
      <c r="ROM47" s="110"/>
      <c r="ROO47"/>
      <c r="ROQ47" s="110"/>
      <c r="ROS47"/>
      <c r="ROU47" s="110"/>
      <c r="ROW47"/>
      <c r="ROY47" s="110"/>
      <c r="RPA47"/>
      <c r="RPC47" s="110"/>
      <c r="RPE47"/>
      <c r="RPG47" s="110"/>
      <c r="RPI47"/>
      <c r="RPK47" s="110"/>
      <c r="RPM47"/>
      <c r="RPO47" s="110"/>
      <c r="RPQ47"/>
      <c r="RPS47" s="110"/>
      <c r="RPU47"/>
      <c r="RPW47" s="110"/>
      <c r="RPY47"/>
      <c r="RQA47" s="110"/>
      <c r="RQC47"/>
      <c r="RQE47" s="110"/>
      <c r="RQG47"/>
      <c r="RQI47" s="110"/>
      <c r="RQK47"/>
      <c r="RQM47" s="110"/>
      <c r="RQO47"/>
      <c r="RQQ47" s="110"/>
      <c r="RQS47"/>
      <c r="RQU47" s="110"/>
      <c r="RQW47"/>
      <c r="RQY47" s="110"/>
      <c r="RRA47"/>
      <c r="RRC47" s="110"/>
      <c r="RRE47"/>
      <c r="RRG47" s="110"/>
      <c r="RRI47"/>
      <c r="RRK47" s="110"/>
      <c r="RRM47"/>
      <c r="RRO47" s="110"/>
      <c r="RRQ47"/>
      <c r="RRS47" s="110"/>
      <c r="RRU47"/>
      <c r="RRW47" s="110"/>
      <c r="RRY47"/>
      <c r="RSA47" s="110"/>
      <c r="RSC47"/>
      <c r="RSE47" s="110"/>
      <c r="RSG47"/>
      <c r="RSI47" s="110"/>
      <c r="RSK47"/>
      <c r="RSM47" s="110"/>
      <c r="RSO47"/>
      <c r="RSQ47" s="110"/>
      <c r="RSS47"/>
      <c r="RSU47" s="110"/>
      <c r="RSW47"/>
      <c r="RSY47" s="110"/>
      <c r="RTA47"/>
      <c r="RTC47" s="110"/>
      <c r="RTE47"/>
      <c r="RTG47" s="110"/>
      <c r="RTI47"/>
      <c r="RTK47" s="110"/>
      <c r="RTM47"/>
      <c r="RTO47" s="110"/>
      <c r="RTQ47"/>
      <c r="RTS47" s="110"/>
      <c r="RTU47"/>
      <c r="RTW47" s="110"/>
      <c r="RTY47"/>
      <c r="RUA47" s="110"/>
      <c r="RUC47"/>
      <c r="RUE47" s="110"/>
      <c r="RUG47"/>
      <c r="RUI47" s="110"/>
      <c r="RUK47"/>
      <c r="RUM47" s="110"/>
      <c r="RUO47"/>
      <c r="RUQ47" s="110"/>
      <c r="RUS47"/>
      <c r="RUU47" s="110"/>
      <c r="RUW47"/>
      <c r="RUY47" s="110"/>
      <c r="RVA47"/>
      <c r="RVC47" s="110"/>
      <c r="RVE47"/>
      <c r="RVG47" s="110"/>
      <c r="RVI47"/>
      <c r="RVK47" s="110"/>
      <c r="RVM47"/>
      <c r="RVO47" s="110"/>
      <c r="RVQ47"/>
      <c r="RVS47" s="110"/>
      <c r="RVU47"/>
      <c r="RVW47" s="110"/>
      <c r="RVY47"/>
      <c r="RWA47" s="110"/>
      <c r="RWC47"/>
      <c r="RWE47" s="110"/>
      <c r="RWG47"/>
      <c r="RWI47" s="110"/>
      <c r="RWK47"/>
      <c r="RWM47" s="110"/>
      <c r="RWO47"/>
      <c r="RWQ47" s="110"/>
      <c r="RWS47"/>
      <c r="RWU47" s="110"/>
      <c r="RWW47"/>
      <c r="RWY47" s="110"/>
      <c r="RXA47"/>
      <c r="RXC47" s="110"/>
      <c r="RXE47"/>
      <c r="RXG47" s="110"/>
      <c r="RXI47"/>
      <c r="RXK47" s="110"/>
      <c r="RXM47"/>
      <c r="RXO47" s="110"/>
      <c r="RXQ47"/>
      <c r="RXS47" s="110"/>
      <c r="RXU47"/>
      <c r="RXW47" s="110"/>
      <c r="RXY47"/>
      <c r="RYA47" s="110"/>
      <c r="RYC47"/>
      <c r="RYE47" s="110"/>
      <c r="RYG47"/>
      <c r="RYI47" s="110"/>
      <c r="RYK47"/>
      <c r="RYM47" s="110"/>
      <c r="RYO47"/>
      <c r="RYQ47" s="110"/>
      <c r="RYS47"/>
      <c r="RYU47" s="110"/>
      <c r="RYW47"/>
      <c r="RYY47" s="110"/>
      <c r="RZA47"/>
      <c r="RZC47" s="110"/>
      <c r="RZE47"/>
      <c r="RZG47" s="110"/>
      <c r="RZI47"/>
      <c r="RZK47" s="110"/>
      <c r="RZM47"/>
      <c r="RZO47" s="110"/>
      <c r="RZQ47"/>
      <c r="RZS47" s="110"/>
      <c r="RZU47"/>
      <c r="RZW47" s="110"/>
      <c r="RZY47"/>
      <c r="SAA47" s="110"/>
      <c r="SAC47"/>
      <c r="SAE47" s="110"/>
      <c r="SAG47"/>
      <c r="SAI47" s="110"/>
      <c r="SAK47"/>
      <c r="SAM47" s="110"/>
      <c r="SAO47"/>
      <c r="SAQ47" s="110"/>
      <c r="SAS47"/>
      <c r="SAU47" s="110"/>
      <c r="SAW47"/>
      <c r="SAY47" s="110"/>
      <c r="SBA47"/>
      <c r="SBC47" s="110"/>
      <c r="SBE47"/>
      <c r="SBG47" s="110"/>
      <c r="SBI47"/>
      <c r="SBK47" s="110"/>
      <c r="SBM47"/>
      <c r="SBO47" s="110"/>
      <c r="SBQ47"/>
      <c r="SBS47" s="110"/>
      <c r="SBU47"/>
      <c r="SBW47" s="110"/>
      <c r="SBY47"/>
      <c r="SCA47" s="110"/>
      <c r="SCC47"/>
      <c r="SCE47" s="110"/>
      <c r="SCG47"/>
      <c r="SCI47" s="110"/>
      <c r="SCK47"/>
      <c r="SCM47" s="110"/>
      <c r="SCO47"/>
      <c r="SCQ47" s="110"/>
      <c r="SCS47"/>
      <c r="SCU47" s="110"/>
      <c r="SCW47"/>
      <c r="SCY47" s="110"/>
      <c r="SDA47"/>
      <c r="SDC47" s="110"/>
      <c r="SDE47"/>
      <c r="SDG47" s="110"/>
      <c r="SDI47"/>
      <c r="SDK47" s="110"/>
      <c r="SDM47"/>
      <c r="SDO47" s="110"/>
      <c r="SDQ47"/>
      <c r="SDS47" s="110"/>
      <c r="SDU47"/>
      <c r="SDW47" s="110"/>
      <c r="SDY47"/>
      <c r="SEA47" s="110"/>
      <c r="SEC47"/>
      <c r="SEE47" s="110"/>
      <c r="SEG47"/>
      <c r="SEI47" s="110"/>
      <c r="SEK47"/>
      <c r="SEM47" s="110"/>
      <c r="SEO47"/>
      <c r="SEQ47" s="110"/>
      <c r="SES47"/>
      <c r="SEU47" s="110"/>
      <c r="SEW47"/>
      <c r="SEY47" s="110"/>
      <c r="SFA47"/>
      <c r="SFC47" s="110"/>
      <c r="SFE47"/>
      <c r="SFG47" s="110"/>
      <c r="SFI47"/>
      <c r="SFK47" s="110"/>
      <c r="SFM47"/>
      <c r="SFO47" s="110"/>
      <c r="SFQ47"/>
      <c r="SFS47" s="110"/>
      <c r="SFU47"/>
      <c r="SFW47" s="110"/>
      <c r="SFY47"/>
      <c r="SGA47" s="110"/>
      <c r="SGC47"/>
      <c r="SGE47" s="110"/>
      <c r="SGG47"/>
      <c r="SGI47" s="110"/>
      <c r="SGK47"/>
      <c r="SGM47" s="110"/>
      <c r="SGO47"/>
      <c r="SGQ47" s="110"/>
      <c r="SGS47"/>
      <c r="SGU47" s="110"/>
      <c r="SGW47"/>
      <c r="SGY47" s="110"/>
      <c r="SHA47"/>
      <c r="SHC47" s="110"/>
      <c r="SHE47"/>
      <c r="SHG47" s="110"/>
      <c r="SHI47"/>
      <c r="SHK47" s="110"/>
      <c r="SHM47"/>
      <c r="SHO47" s="110"/>
      <c r="SHQ47"/>
      <c r="SHS47" s="110"/>
      <c r="SHU47"/>
      <c r="SHW47" s="110"/>
      <c r="SHY47"/>
      <c r="SIA47" s="110"/>
      <c r="SIC47"/>
      <c r="SIE47" s="110"/>
      <c r="SIG47"/>
      <c r="SII47" s="110"/>
      <c r="SIK47"/>
      <c r="SIM47" s="110"/>
      <c r="SIO47"/>
      <c r="SIQ47" s="110"/>
      <c r="SIS47"/>
      <c r="SIU47" s="110"/>
      <c r="SIW47"/>
      <c r="SIY47" s="110"/>
      <c r="SJA47"/>
      <c r="SJC47" s="110"/>
      <c r="SJE47"/>
      <c r="SJG47" s="110"/>
      <c r="SJI47"/>
      <c r="SJK47" s="110"/>
      <c r="SJM47"/>
      <c r="SJO47" s="110"/>
      <c r="SJQ47"/>
      <c r="SJS47" s="110"/>
      <c r="SJU47"/>
      <c r="SJW47" s="110"/>
      <c r="SJY47"/>
      <c r="SKA47" s="110"/>
      <c r="SKC47"/>
      <c r="SKE47" s="110"/>
      <c r="SKG47"/>
      <c r="SKI47" s="110"/>
      <c r="SKK47"/>
      <c r="SKM47" s="110"/>
      <c r="SKO47"/>
      <c r="SKQ47" s="110"/>
      <c r="SKS47"/>
      <c r="SKU47" s="110"/>
      <c r="SKW47"/>
      <c r="SKY47" s="110"/>
      <c r="SLA47"/>
      <c r="SLC47" s="110"/>
      <c r="SLE47"/>
      <c r="SLG47" s="110"/>
      <c r="SLI47"/>
      <c r="SLK47" s="110"/>
      <c r="SLM47"/>
      <c r="SLO47" s="110"/>
      <c r="SLQ47"/>
      <c r="SLS47" s="110"/>
      <c r="SLU47"/>
      <c r="SLW47" s="110"/>
      <c r="SLY47"/>
      <c r="SMA47" s="110"/>
      <c r="SMC47"/>
      <c r="SME47" s="110"/>
      <c r="SMG47"/>
      <c r="SMI47" s="110"/>
      <c r="SMK47"/>
      <c r="SMM47" s="110"/>
      <c r="SMO47"/>
      <c r="SMQ47" s="110"/>
      <c r="SMS47"/>
      <c r="SMU47" s="110"/>
      <c r="SMW47"/>
      <c r="SMY47" s="110"/>
      <c r="SNA47"/>
      <c r="SNC47" s="110"/>
      <c r="SNE47"/>
      <c r="SNG47" s="110"/>
      <c r="SNI47"/>
      <c r="SNK47" s="110"/>
      <c r="SNM47"/>
      <c r="SNO47" s="110"/>
      <c r="SNQ47"/>
      <c r="SNS47" s="110"/>
      <c r="SNU47"/>
      <c r="SNW47" s="110"/>
      <c r="SNY47"/>
      <c r="SOA47" s="110"/>
      <c r="SOC47"/>
      <c r="SOE47" s="110"/>
      <c r="SOG47"/>
      <c r="SOI47" s="110"/>
      <c r="SOK47"/>
      <c r="SOM47" s="110"/>
      <c r="SOO47"/>
      <c r="SOQ47" s="110"/>
      <c r="SOS47"/>
      <c r="SOU47" s="110"/>
      <c r="SOW47"/>
      <c r="SOY47" s="110"/>
      <c r="SPA47"/>
      <c r="SPC47" s="110"/>
      <c r="SPE47"/>
      <c r="SPG47" s="110"/>
      <c r="SPI47"/>
      <c r="SPK47" s="110"/>
      <c r="SPM47"/>
      <c r="SPO47" s="110"/>
      <c r="SPQ47"/>
      <c r="SPS47" s="110"/>
      <c r="SPU47"/>
      <c r="SPW47" s="110"/>
      <c r="SPY47"/>
      <c r="SQA47" s="110"/>
      <c r="SQC47"/>
      <c r="SQE47" s="110"/>
      <c r="SQG47"/>
      <c r="SQI47" s="110"/>
      <c r="SQK47"/>
      <c r="SQM47" s="110"/>
      <c r="SQO47"/>
      <c r="SQQ47" s="110"/>
      <c r="SQS47"/>
      <c r="SQU47" s="110"/>
      <c r="SQW47"/>
      <c r="SQY47" s="110"/>
      <c r="SRA47"/>
      <c r="SRC47" s="110"/>
      <c r="SRE47"/>
      <c r="SRG47" s="110"/>
      <c r="SRI47"/>
      <c r="SRK47" s="110"/>
      <c r="SRM47"/>
      <c r="SRO47" s="110"/>
      <c r="SRQ47"/>
      <c r="SRS47" s="110"/>
      <c r="SRU47"/>
      <c r="SRW47" s="110"/>
      <c r="SRY47"/>
      <c r="SSA47" s="110"/>
      <c r="SSC47"/>
      <c r="SSE47" s="110"/>
      <c r="SSG47"/>
      <c r="SSI47" s="110"/>
      <c r="SSK47"/>
      <c r="SSM47" s="110"/>
      <c r="SSO47"/>
      <c r="SSQ47" s="110"/>
      <c r="SSS47"/>
      <c r="SSU47" s="110"/>
      <c r="SSW47"/>
      <c r="SSY47" s="110"/>
      <c r="STA47"/>
      <c r="STC47" s="110"/>
      <c r="STE47"/>
      <c r="STG47" s="110"/>
      <c r="STI47"/>
      <c r="STK47" s="110"/>
      <c r="STM47"/>
      <c r="STO47" s="110"/>
      <c r="STQ47"/>
      <c r="STS47" s="110"/>
      <c r="STU47"/>
      <c r="STW47" s="110"/>
      <c r="STY47"/>
      <c r="SUA47" s="110"/>
      <c r="SUC47"/>
      <c r="SUE47" s="110"/>
      <c r="SUG47"/>
      <c r="SUI47" s="110"/>
      <c r="SUK47"/>
      <c r="SUM47" s="110"/>
      <c r="SUO47"/>
      <c r="SUQ47" s="110"/>
      <c r="SUS47"/>
      <c r="SUU47" s="110"/>
      <c r="SUW47"/>
      <c r="SUY47" s="110"/>
      <c r="SVA47"/>
      <c r="SVC47" s="110"/>
      <c r="SVE47"/>
      <c r="SVG47" s="110"/>
      <c r="SVI47"/>
      <c r="SVK47" s="110"/>
      <c r="SVM47"/>
      <c r="SVO47" s="110"/>
      <c r="SVQ47"/>
      <c r="SVS47" s="110"/>
      <c r="SVU47"/>
      <c r="SVW47" s="110"/>
      <c r="SVY47"/>
      <c r="SWA47" s="110"/>
      <c r="SWC47"/>
      <c r="SWE47" s="110"/>
      <c r="SWG47"/>
      <c r="SWI47" s="110"/>
      <c r="SWK47"/>
      <c r="SWM47" s="110"/>
      <c r="SWO47"/>
      <c r="SWQ47" s="110"/>
      <c r="SWS47"/>
      <c r="SWU47" s="110"/>
      <c r="SWW47"/>
      <c r="SWY47" s="110"/>
      <c r="SXA47"/>
      <c r="SXC47" s="110"/>
      <c r="SXE47"/>
      <c r="SXG47" s="110"/>
      <c r="SXI47"/>
      <c r="SXK47" s="110"/>
      <c r="SXM47"/>
      <c r="SXO47" s="110"/>
      <c r="SXQ47"/>
      <c r="SXS47" s="110"/>
      <c r="SXU47"/>
      <c r="SXW47" s="110"/>
      <c r="SXY47"/>
      <c r="SYA47" s="110"/>
      <c r="SYC47"/>
      <c r="SYE47" s="110"/>
      <c r="SYG47"/>
      <c r="SYI47" s="110"/>
      <c r="SYK47"/>
      <c r="SYM47" s="110"/>
      <c r="SYO47"/>
      <c r="SYQ47" s="110"/>
      <c r="SYS47"/>
      <c r="SYU47" s="110"/>
      <c r="SYW47"/>
      <c r="SYY47" s="110"/>
      <c r="SZA47"/>
      <c r="SZC47" s="110"/>
      <c r="SZE47"/>
      <c r="SZG47" s="110"/>
      <c r="SZI47"/>
      <c r="SZK47" s="110"/>
      <c r="SZM47"/>
      <c r="SZO47" s="110"/>
      <c r="SZQ47"/>
      <c r="SZS47" s="110"/>
      <c r="SZU47"/>
      <c r="SZW47" s="110"/>
      <c r="SZY47"/>
      <c r="TAA47" s="110"/>
      <c r="TAC47"/>
      <c r="TAE47" s="110"/>
      <c r="TAG47"/>
      <c r="TAI47" s="110"/>
      <c r="TAK47"/>
      <c r="TAM47" s="110"/>
      <c r="TAO47"/>
      <c r="TAQ47" s="110"/>
      <c r="TAS47"/>
      <c r="TAU47" s="110"/>
      <c r="TAW47"/>
      <c r="TAY47" s="110"/>
      <c r="TBA47"/>
      <c r="TBC47" s="110"/>
      <c r="TBE47"/>
      <c r="TBG47" s="110"/>
      <c r="TBI47"/>
      <c r="TBK47" s="110"/>
      <c r="TBM47"/>
      <c r="TBO47" s="110"/>
      <c r="TBQ47"/>
      <c r="TBS47" s="110"/>
      <c r="TBU47"/>
      <c r="TBW47" s="110"/>
      <c r="TBY47"/>
      <c r="TCA47" s="110"/>
      <c r="TCC47"/>
      <c r="TCE47" s="110"/>
      <c r="TCG47"/>
      <c r="TCI47" s="110"/>
      <c r="TCK47"/>
      <c r="TCM47" s="110"/>
      <c r="TCO47"/>
      <c r="TCQ47" s="110"/>
      <c r="TCS47"/>
      <c r="TCU47" s="110"/>
      <c r="TCW47"/>
      <c r="TCY47" s="110"/>
      <c r="TDA47"/>
      <c r="TDC47" s="110"/>
      <c r="TDE47"/>
      <c r="TDG47" s="110"/>
      <c r="TDI47"/>
      <c r="TDK47" s="110"/>
      <c r="TDM47"/>
      <c r="TDO47" s="110"/>
      <c r="TDQ47"/>
      <c r="TDS47" s="110"/>
      <c r="TDU47"/>
      <c r="TDW47" s="110"/>
      <c r="TDY47"/>
      <c r="TEA47" s="110"/>
      <c r="TEC47"/>
      <c r="TEE47" s="110"/>
      <c r="TEG47"/>
      <c r="TEI47" s="110"/>
      <c r="TEK47"/>
      <c r="TEM47" s="110"/>
      <c r="TEO47"/>
      <c r="TEQ47" s="110"/>
      <c r="TES47"/>
      <c r="TEU47" s="110"/>
      <c r="TEW47"/>
      <c r="TEY47" s="110"/>
      <c r="TFA47"/>
      <c r="TFC47" s="110"/>
      <c r="TFE47"/>
      <c r="TFG47" s="110"/>
      <c r="TFI47"/>
      <c r="TFK47" s="110"/>
      <c r="TFM47"/>
      <c r="TFO47" s="110"/>
      <c r="TFQ47"/>
      <c r="TFS47" s="110"/>
      <c r="TFU47"/>
      <c r="TFW47" s="110"/>
      <c r="TFY47"/>
      <c r="TGA47" s="110"/>
      <c r="TGC47"/>
      <c r="TGE47" s="110"/>
      <c r="TGG47"/>
      <c r="TGI47" s="110"/>
      <c r="TGK47"/>
      <c r="TGM47" s="110"/>
      <c r="TGO47"/>
      <c r="TGQ47" s="110"/>
      <c r="TGS47"/>
      <c r="TGU47" s="110"/>
      <c r="TGW47"/>
      <c r="TGY47" s="110"/>
      <c r="THA47"/>
      <c r="THC47" s="110"/>
      <c r="THE47"/>
      <c r="THG47" s="110"/>
      <c r="THI47"/>
      <c r="THK47" s="110"/>
      <c r="THM47"/>
      <c r="THO47" s="110"/>
      <c r="THQ47"/>
      <c r="THS47" s="110"/>
      <c r="THU47"/>
      <c r="THW47" s="110"/>
      <c r="THY47"/>
      <c r="TIA47" s="110"/>
      <c r="TIC47"/>
      <c r="TIE47" s="110"/>
      <c r="TIG47"/>
      <c r="TII47" s="110"/>
      <c r="TIK47"/>
      <c r="TIM47" s="110"/>
      <c r="TIO47"/>
      <c r="TIQ47" s="110"/>
      <c r="TIS47"/>
      <c r="TIU47" s="110"/>
      <c r="TIW47"/>
      <c r="TIY47" s="110"/>
      <c r="TJA47"/>
      <c r="TJC47" s="110"/>
      <c r="TJE47"/>
      <c r="TJG47" s="110"/>
      <c r="TJI47"/>
      <c r="TJK47" s="110"/>
      <c r="TJM47"/>
      <c r="TJO47" s="110"/>
      <c r="TJQ47"/>
      <c r="TJS47" s="110"/>
      <c r="TJU47"/>
      <c r="TJW47" s="110"/>
      <c r="TJY47"/>
      <c r="TKA47" s="110"/>
      <c r="TKC47"/>
      <c r="TKE47" s="110"/>
      <c r="TKG47"/>
      <c r="TKI47" s="110"/>
      <c r="TKK47"/>
      <c r="TKM47" s="110"/>
      <c r="TKO47"/>
      <c r="TKQ47" s="110"/>
      <c r="TKS47"/>
      <c r="TKU47" s="110"/>
      <c r="TKW47"/>
      <c r="TKY47" s="110"/>
      <c r="TLA47"/>
      <c r="TLC47" s="110"/>
      <c r="TLE47"/>
      <c r="TLG47" s="110"/>
      <c r="TLI47"/>
      <c r="TLK47" s="110"/>
      <c r="TLM47"/>
      <c r="TLO47" s="110"/>
      <c r="TLQ47"/>
      <c r="TLS47" s="110"/>
      <c r="TLU47"/>
      <c r="TLW47" s="110"/>
      <c r="TLY47"/>
      <c r="TMA47" s="110"/>
      <c r="TMC47"/>
      <c r="TME47" s="110"/>
      <c r="TMG47"/>
      <c r="TMI47" s="110"/>
      <c r="TMK47"/>
      <c r="TMM47" s="110"/>
      <c r="TMO47"/>
      <c r="TMQ47" s="110"/>
      <c r="TMS47"/>
      <c r="TMU47" s="110"/>
      <c r="TMW47"/>
      <c r="TMY47" s="110"/>
      <c r="TNA47"/>
      <c r="TNC47" s="110"/>
      <c r="TNE47"/>
      <c r="TNG47" s="110"/>
      <c r="TNI47"/>
      <c r="TNK47" s="110"/>
      <c r="TNM47"/>
      <c r="TNO47" s="110"/>
      <c r="TNQ47"/>
      <c r="TNS47" s="110"/>
      <c r="TNU47"/>
      <c r="TNW47" s="110"/>
      <c r="TNY47"/>
      <c r="TOA47" s="110"/>
      <c r="TOC47"/>
      <c r="TOE47" s="110"/>
      <c r="TOG47"/>
      <c r="TOI47" s="110"/>
      <c r="TOK47"/>
      <c r="TOM47" s="110"/>
      <c r="TOO47"/>
      <c r="TOQ47" s="110"/>
      <c r="TOS47"/>
      <c r="TOU47" s="110"/>
      <c r="TOW47"/>
      <c r="TOY47" s="110"/>
      <c r="TPA47"/>
      <c r="TPC47" s="110"/>
      <c r="TPE47"/>
      <c r="TPG47" s="110"/>
      <c r="TPI47"/>
      <c r="TPK47" s="110"/>
      <c r="TPM47"/>
      <c r="TPO47" s="110"/>
      <c r="TPQ47"/>
      <c r="TPS47" s="110"/>
      <c r="TPU47"/>
      <c r="TPW47" s="110"/>
      <c r="TPY47"/>
      <c r="TQA47" s="110"/>
      <c r="TQC47"/>
      <c r="TQE47" s="110"/>
      <c r="TQG47"/>
      <c r="TQI47" s="110"/>
      <c r="TQK47"/>
      <c r="TQM47" s="110"/>
      <c r="TQO47"/>
      <c r="TQQ47" s="110"/>
      <c r="TQS47"/>
      <c r="TQU47" s="110"/>
      <c r="TQW47"/>
      <c r="TQY47" s="110"/>
      <c r="TRA47"/>
      <c r="TRC47" s="110"/>
      <c r="TRE47"/>
      <c r="TRG47" s="110"/>
      <c r="TRI47"/>
      <c r="TRK47" s="110"/>
      <c r="TRM47"/>
      <c r="TRO47" s="110"/>
      <c r="TRQ47"/>
      <c r="TRS47" s="110"/>
      <c r="TRU47"/>
      <c r="TRW47" s="110"/>
      <c r="TRY47"/>
      <c r="TSA47" s="110"/>
      <c r="TSC47"/>
      <c r="TSE47" s="110"/>
      <c r="TSG47"/>
      <c r="TSI47" s="110"/>
      <c r="TSK47"/>
      <c r="TSM47" s="110"/>
      <c r="TSO47"/>
      <c r="TSQ47" s="110"/>
      <c r="TSS47"/>
      <c r="TSU47" s="110"/>
      <c r="TSW47"/>
      <c r="TSY47" s="110"/>
      <c r="TTA47"/>
      <c r="TTC47" s="110"/>
      <c r="TTE47"/>
      <c r="TTG47" s="110"/>
      <c r="TTI47"/>
      <c r="TTK47" s="110"/>
      <c r="TTM47"/>
      <c r="TTO47" s="110"/>
      <c r="TTQ47"/>
      <c r="TTS47" s="110"/>
      <c r="TTU47"/>
      <c r="TTW47" s="110"/>
      <c r="TTY47"/>
      <c r="TUA47" s="110"/>
      <c r="TUC47"/>
      <c r="TUE47" s="110"/>
      <c r="TUG47"/>
      <c r="TUI47" s="110"/>
      <c r="TUK47"/>
      <c r="TUM47" s="110"/>
      <c r="TUO47"/>
      <c r="TUQ47" s="110"/>
      <c r="TUS47"/>
      <c r="TUU47" s="110"/>
      <c r="TUW47"/>
      <c r="TUY47" s="110"/>
      <c r="TVA47"/>
      <c r="TVC47" s="110"/>
      <c r="TVE47"/>
      <c r="TVG47" s="110"/>
      <c r="TVI47"/>
      <c r="TVK47" s="110"/>
      <c r="TVM47"/>
      <c r="TVO47" s="110"/>
      <c r="TVQ47"/>
      <c r="TVS47" s="110"/>
      <c r="TVU47"/>
      <c r="TVW47" s="110"/>
      <c r="TVY47"/>
      <c r="TWA47" s="110"/>
      <c r="TWC47"/>
      <c r="TWE47" s="110"/>
      <c r="TWG47"/>
      <c r="TWI47" s="110"/>
      <c r="TWK47"/>
      <c r="TWM47" s="110"/>
      <c r="TWO47"/>
      <c r="TWQ47" s="110"/>
      <c r="TWS47"/>
      <c r="TWU47" s="110"/>
      <c r="TWW47"/>
      <c r="TWY47" s="110"/>
      <c r="TXA47"/>
      <c r="TXC47" s="110"/>
      <c r="TXE47"/>
      <c r="TXG47" s="110"/>
      <c r="TXI47"/>
      <c r="TXK47" s="110"/>
      <c r="TXM47"/>
      <c r="TXO47" s="110"/>
      <c r="TXQ47"/>
      <c r="TXS47" s="110"/>
      <c r="TXU47"/>
      <c r="TXW47" s="110"/>
      <c r="TXY47"/>
      <c r="TYA47" s="110"/>
      <c r="TYC47"/>
      <c r="TYE47" s="110"/>
      <c r="TYG47"/>
      <c r="TYI47" s="110"/>
      <c r="TYK47"/>
      <c r="TYM47" s="110"/>
      <c r="TYO47"/>
      <c r="TYQ47" s="110"/>
      <c r="TYS47"/>
      <c r="TYU47" s="110"/>
      <c r="TYW47"/>
      <c r="TYY47" s="110"/>
      <c r="TZA47"/>
      <c r="TZC47" s="110"/>
      <c r="TZE47"/>
      <c r="TZG47" s="110"/>
      <c r="TZI47"/>
      <c r="TZK47" s="110"/>
      <c r="TZM47"/>
      <c r="TZO47" s="110"/>
      <c r="TZQ47"/>
      <c r="TZS47" s="110"/>
      <c r="TZU47"/>
      <c r="TZW47" s="110"/>
      <c r="TZY47"/>
      <c r="UAA47" s="110"/>
      <c r="UAC47"/>
      <c r="UAE47" s="110"/>
      <c r="UAG47"/>
      <c r="UAI47" s="110"/>
      <c r="UAK47"/>
      <c r="UAM47" s="110"/>
      <c r="UAO47"/>
      <c r="UAQ47" s="110"/>
      <c r="UAS47"/>
      <c r="UAU47" s="110"/>
      <c r="UAW47"/>
      <c r="UAY47" s="110"/>
      <c r="UBA47"/>
      <c r="UBC47" s="110"/>
      <c r="UBE47"/>
      <c r="UBG47" s="110"/>
      <c r="UBI47"/>
      <c r="UBK47" s="110"/>
      <c r="UBM47"/>
      <c r="UBO47" s="110"/>
      <c r="UBQ47"/>
      <c r="UBS47" s="110"/>
      <c r="UBU47"/>
      <c r="UBW47" s="110"/>
      <c r="UBY47"/>
      <c r="UCA47" s="110"/>
      <c r="UCC47"/>
      <c r="UCE47" s="110"/>
      <c r="UCG47"/>
      <c r="UCI47" s="110"/>
      <c r="UCK47"/>
      <c r="UCM47" s="110"/>
      <c r="UCO47"/>
      <c r="UCQ47" s="110"/>
      <c r="UCS47"/>
      <c r="UCU47" s="110"/>
      <c r="UCW47"/>
      <c r="UCY47" s="110"/>
      <c r="UDA47"/>
      <c r="UDC47" s="110"/>
      <c r="UDE47"/>
      <c r="UDG47" s="110"/>
      <c r="UDI47"/>
      <c r="UDK47" s="110"/>
      <c r="UDM47"/>
      <c r="UDO47" s="110"/>
      <c r="UDQ47"/>
      <c r="UDS47" s="110"/>
      <c r="UDU47"/>
      <c r="UDW47" s="110"/>
      <c r="UDY47"/>
      <c r="UEA47" s="110"/>
      <c r="UEC47"/>
      <c r="UEE47" s="110"/>
      <c r="UEG47"/>
      <c r="UEI47" s="110"/>
      <c r="UEK47"/>
      <c r="UEM47" s="110"/>
      <c r="UEO47"/>
      <c r="UEQ47" s="110"/>
      <c r="UES47"/>
      <c r="UEU47" s="110"/>
      <c r="UEW47"/>
      <c r="UEY47" s="110"/>
      <c r="UFA47"/>
      <c r="UFC47" s="110"/>
      <c r="UFE47"/>
      <c r="UFG47" s="110"/>
      <c r="UFI47"/>
      <c r="UFK47" s="110"/>
      <c r="UFM47"/>
      <c r="UFO47" s="110"/>
      <c r="UFQ47"/>
      <c r="UFS47" s="110"/>
      <c r="UFU47"/>
      <c r="UFW47" s="110"/>
      <c r="UFY47"/>
      <c r="UGA47" s="110"/>
      <c r="UGC47"/>
      <c r="UGE47" s="110"/>
      <c r="UGG47"/>
      <c r="UGI47" s="110"/>
      <c r="UGK47"/>
      <c r="UGM47" s="110"/>
      <c r="UGO47"/>
      <c r="UGQ47" s="110"/>
      <c r="UGS47"/>
      <c r="UGU47" s="110"/>
      <c r="UGW47"/>
      <c r="UGY47" s="110"/>
      <c r="UHA47"/>
      <c r="UHC47" s="110"/>
      <c r="UHE47"/>
      <c r="UHG47" s="110"/>
      <c r="UHI47"/>
      <c r="UHK47" s="110"/>
      <c r="UHM47"/>
      <c r="UHO47" s="110"/>
      <c r="UHQ47"/>
      <c r="UHS47" s="110"/>
      <c r="UHU47"/>
      <c r="UHW47" s="110"/>
      <c r="UHY47"/>
      <c r="UIA47" s="110"/>
      <c r="UIC47"/>
      <c r="UIE47" s="110"/>
      <c r="UIG47"/>
      <c r="UII47" s="110"/>
      <c r="UIK47"/>
      <c r="UIM47" s="110"/>
      <c r="UIO47"/>
      <c r="UIQ47" s="110"/>
      <c r="UIS47"/>
      <c r="UIU47" s="110"/>
      <c r="UIW47"/>
      <c r="UIY47" s="110"/>
      <c r="UJA47"/>
      <c r="UJC47" s="110"/>
      <c r="UJE47"/>
      <c r="UJG47" s="110"/>
      <c r="UJI47"/>
      <c r="UJK47" s="110"/>
      <c r="UJM47"/>
      <c r="UJO47" s="110"/>
      <c r="UJQ47"/>
      <c r="UJS47" s="110"/>
      <c r="UJU47"/>
      <c r="UJW47" s="110"/>
      <c r="UJY47"/>
      <c r="UKA47" s="110"/>
      <c r="UKC47"/>
      <c r="UKE47" s="110"/>
      <c r="UKG47"/>
      <c r="UKI47" s="110"/>
      <c r="UKK47"/>
      <c r="UKM47" s="110"/>
      <c r="UKO47"/>
      <c r="UKQ47" s="110"/>
      <c r="UKS47"/>
      <c r="UKU47" s="110"/>
      <c r="UKW47"/>
      <c r="UKY47" s="110"/>
      <c r="ULA47"/>
      <c r="ULC47" s="110"/>
      <c r="ULE47"/>
      <c r="ULG47" s="110"/>
      <c r="ULI47"/>
      <c r="ULK47" s="110"/>
      <c r="ULM47"/>
      <c r="ULO47" s="110"/>
      <c r="ULQ47"/>
      <c r="ULS47" s="110"/>
      <c r="ULU47"/>
      <c r="ULW47" s="110"/>
      <c r="ULY47"/>
      <c r="UMA47" s="110"/>
      <c r="UMC47"/>
      <c r="UME47" s="110"/>
      <c r="UMG47"/>
      <c r="UMI47" s="110"/>
      <c r="UMK47"/>
      <c r="UMM47" s="110"/>
      <c r="UMO47"/>
      <c r="UMQ47" s="110"/>
      <c r="UMS47"/>
      <c r="UMU47" s="110"/>
      <c r="UMW47"/>
      <c r="UMY47" s="110"/>
      <c r="UNA47"/>
      <c r="UNC47" s="110"/>
      <c r="UNE47"/>
      <c r="UNG47" s="110"/>
      <c r="UNI47"/>
      <c r="UNK47" s="110"/>
      <c r="UNM47"/>
      <c r="UNO47" s="110"/>
      <c r="UNQ47"/>
      <c r="UNS47" s="110"/>
      <c r="UNU47"/>
      <c r="UNW47" s="110"/>
      <c r="UNY47"/>
      <c r="UOA47" s="110"/>
      <c r="UOC47"/>
      <c r="UOE47" s="110"/>
      <c r="UOG47"/>
      <c r="UOI47" s="110"/>
      <c r="UOK47"/>
      <c r="UOM47" s="110"/>
      <c r="UOO47"/>
      <c r="UOQ47" s="110"/>
      <c r="UOS47"/>
      <c r="UOU47" s="110"/>
      <c r="UOW47"/>
      <c r="UOY47" s="110"/>
      <c r="UPA47"/>
      <c r="UPC47" s="110"/>
      <c r="UPE47"/>
      <c r="UPG47" s="110"/>
      <c r="UPI47"/>
      <c r="UPK47" s="110"/>
      <c r="UPM47"/>
      <c r="UPO47" s="110"/>
      <c r="UPQ47"/>
      <c r="UPS47" s="110"/>
      <c r="UPU47"/>
      <c r="UPW47" s="110"/>
      <c r="UPY47"/>
      <c r="UQA47" s="110"/>
      <c r="UQC47"/>
      <c r="UQE47" s="110"/>
      <c r="UQG47"/>
      <c r="UQI47" s="110"/>
      <c r="UQK47"/>
      <c r="UQM47" s="110"/>
      <c r="UQO47"/>
      <c r="UQQ47" s="110"/>
      <c r="UQS47"/>
      <c r="UQU47" s="110"/>
      <c r="UQW47"/>
      <c r="UQY47" s="110"/>
      <c r="URA47"/>
      <c r="URC47" s="110"/>
      <c r="URE47"/>
      <c r="URG47" s="110"/>
      <c r="URI47"/>
      <c r="URK47" s="110"/>
      <c r="URM47"/>
      <c r="URO47" s="110"/>
      <c r="URQ47"/>
      <c r="URS47" s="110"/>
      <c r="URU47"/>
      <c r="URW47" s="110"/>
      <c r="URY47"/>
      <c r="USA47" s="110"/>
      <c r="USC47"/>
      <c r="USE47" s="110"/>
      <c r="USG47"/>
      <c r="USI47" s="110"/>
      <c r="USK47"/>
      <c r="USM47" s="110"/>
      <c r="USO47"/>
      <c r="USQ47" s="110"/>
      <c r="USS47"/>
      <c r="USU47" s="110"/>
      <c r="USW47"/>
      <c r="USY47" s="110"/>
      <c r="UTA47"/>
      <c r="UTC47" s="110"/>
      <c r="UTE47"/>
      <c r="UTG47" s="110"/>
      <c r="UTI47"/>
      <c r="UTK47" s="110"/>
      <c r="UTM47"/>
      <c r="UTO47" s="110"/>
      <c r="UTQ47"/>
      <c r="UTS47" s="110"/>
      <c r="UTU47"/>
      <c r="UTW47" s="110"/>
      <c r="UTY47"/>
      <c r="UUA47" s="110"/>
      <c r="UUC47"/>
      <c r="UUE47" s="110"/>
      <c r="UUG47"/>
      <c r="UUI47" s="110"/>
      <c r="UUK47"/>
      <c r="UUM47" s="110"/>
      <c r="UUO47"/>
      <c r="UUQ47" s="110"/>
      <c r="UUS47"/>
      <c r="UUU47" s="110"/>
      <c r="UUW47"/>
      <c r="UUY47" s="110"/>
      <c r="UVA47"/>
      <c r="UVC47" s="110"/>
      <c r="UVE47"/>
      <c r="UVG47" s="110"/>
      <c r="UVI47"/>
      <c r="UVK47" s="110"/>
      <c r="UVM47"/>
      <c r="UVO47" s="110"/>
      <c r="UVQ47"/>
      <c r="UVS47" s="110"/>
      <c r="UVU47"/>
      <c r="UVW47" s="110"/>
      <c r="UVY47"/>
      <c r="UWA47" s="110"/>
      <c r="UWC47"/>
      <c r="UWE47" s="110"/>
      <c r="UWG47"/>
      <c r="UWI47" s="110"/>
      <c r="UWK47"/>
      <c r="UWM47" s="110"/>
      <c r="UWO47"/>
      <c r="UWQ47" s="110"/>
      <c r="UWS47"/>
      <c r="UWU47" s="110"/>
      <c r="UWW47"/>
      <c r="UWY47" s="110"/>
      <c r="UXA47"/>
      <c r="UXC47" s="110"/>
      <c r="UXE47"/>
      <c r="UXG47" s="110"/>
      <c r="UXI47"/>
      <c r="UXK47" s="110"/>
      <c r="UXM47"/>
      <c r="UXO47" s="110"/>
      <c r="UXQ47"/>
      <c r="UXS47" s="110"/>
      <c r="UXU47"/>
      <c r="UXW47" s="110"/>
      <c r="UXY47"/>
      <c r="UYA47" s="110"/>
      <c r="UYC47"/>
      <c r="UYE47" s="110"/>
      <c r="UYG47"/>
      <c r="UYI47" s="110"/>
      <c r="UYK47"/>
      <c r="UYM47" s="110"/>
      <c r="UYO47"/>
      <c r="UYQ47" s="110"/>
      <c r="UYS47"/>
      <c r="UYU47" s="110"/>
      <c r="UYW47"/>
      <c r="UYY47" s="110"/>
      <c r="UZA47"/>
      <c r="UZC47" s="110"/>
      <c r="UZE47"/>
      <c r="UZG47" s="110"/>
      <c r="UZI47"/>
      <c r="UZK47" s="110"/>
      <c r="UZM47"/>
      <c r="UZO47" s="110"/>
      <c r="UZQ47"/>
      <c r="UZS47" s="110"/>
      <c r="UZU47"/>
      <c r="UZW47" s="110"/>
      <c r="UZY47"/>
      <c r="VAA47" s="110"/>
      <c r="VAC47"/>
      <c r="VAE47" s="110"/>
      <c r="VAG47"/>
      <c r="VAI47" s="110"/>
      <c r="VAK47"/>
      <c r="VAM47" s="110"/>
      <c r="VAO47"/>
      <c r="VAQ47" s="110"/>
      <c r="VAS47"/>
      <c r="VAU47" s="110"/>
      <c r="VAW47"/>
      <c r="VAY47" s="110"/>
      <c r="VBA47"/>
      <c r="VBC47" s="110"/>
      <c r="VBE47"/>
      <c r="VBG47" s="110"/>
      <c r="VBI47"/>
      <c r="VBK47" s="110"/>
      <c r="VBM47"/>
      <c r="VBO47" s="110"/>
      <c r="VBQ47"/>
      <c r="VBS47" s="110"/>
      <c r="VBU47"/>
      <c r="VBW47" s="110"/>
      <c r="VBY47"/>
      <c r="VCA47" s="110"/>
      <c r="VCC47"/>
      <c r="VCE47" s="110"/>
      <c r="VCG47"/>
      <c r="VCI47" s="110"/>
      <c r="VCK47"/>
      <c r="VCM47" s="110"/>
      <c r="VCO47"/>
      <c r="VCQ47" s="110"/>
      <c r="VCS47"/>
      <c r="VCU47" s="110"/>
      <c r="VCW47"/>
      <c r="VCY47" s="110"/>
      <c r="VDA47"/>
      <c r="VDC47" s="110"/>
      <c r="VDE47"/>
      <c r="VDG47" s="110"/>
      <c r="VDI47"/>
      <c r="VDK47" s="110"/>
      <c r="VDM47"/>
      <c r="VDO47" s="110"/>
      <c r="VDQ47"/>
      <c r="VDS47" s="110"/>
      <c r="VDU47"/>
      <c r="VDW47" s="110"/>
      <c r="VDY47"/>
      <c r="VEA47" s="110"/>
      <c r="VEC47"/>
      <c r="VEE47" s="110"/>
      <c r="VEG47"/>
      <c r="VEI47" s="110"/>
      <c r="VEK47"/>
      <c r="VEM47" s="110"/>
      <c r="VEO47"/>
      <c r="VEQ47" s="110"/>
      <c r="VES47"/>
      <c r="VEU47" s="110"/>
      <c r="VEW47"/>
      <c r="VEY47" s="110"/>
      <c r="VFA47"/>
      <c r="VFC47" s="110"/>
      <c r="VFE47"/>
      <c r="VFG47" s="110"/>
      <c r="VFI47"/>
      <c r="VFK47" s="110"/>
      <c r="VFM47"/>
      <c r="VFO47" s="110"/>
      <c r="VFQ47"/>
      <c r="VFS47" s="110"/>
      <c r="VFU47"/>
      <c r="VFW47" s="110"/>
      <c r="VFY47"/>
      <c r="VGA47" s="110"/>
      <c r="VGC47"/>
      <c r="VGE47" s="110"/>
      <c r="VGG47"/>
      <c r="VGI47" s="110"/>
      <c r="VGK47"/>
      <c r="VGM47" s="110"/>
      <c r="VGO47"/>
      <c r="VGQ47" s="110"/>
      <c r="VGS47"/>
      <c r="VGU47" s="110"/>
      <c r="VGW47"/>
      <c r="VGY47" s="110"/>
      <c r="VHA47"/>
      <c r="VHC47" s="110"/>
      <c r="VHE47"/>
      <c r="VHG47" s="110"/>
      <c r="VHI47"/>
      <c r="VHK47" s="110"/>
      <c r="VHM47"/>
      <c r="VHO47" s="110"/>
      <c r="VHQ47"/>
      <c r="VHS47" s="110"/>
      <c r="VHU47"/>
      <c r="VHW47" s="110"/>
      <c r="VHY47"/>
      <c r="VIA47" s="110"/>
      <c r="VIC47"/>
      <c r="VIE47" s="110"/>
      <c r="VIG47"/>
      <c r="VII47" s="110"/>
      <c r="VIK47"/>
      <c r="VIM47" s="110"/>
      <c r="VIO47"/>
      <c r="VIQ47" s="110"/>
      <c r="VIS47"/>
      <c r="VIU47" s="110"/>
      <c r="VIW47"/>
      <c r="VIY47" s="110"/>
      <c r="VJA47"/>
      <c r="VJC47" s="110"/>
      <c r="VJE47"/>
      <c r="VJG47" s="110"/>
      <c r="VJI47"/>
      <c r="VJK47" s="110"/>
      <c r="VJM47"/>
      <c r="VJO47" s="110"/>
      <c r="VJQ47"/>
      <c r="VJS47" s="110"/>
      <c r="VJU47"/>
      <c r="VJW47" s="110"/>
      <c r="VJY47"/>
      <c r="VKA47" s="110"/>
      <c r="VKC47"/>
      <c r="VKE47" s="110"/>
      <c r="VKG47"/>
      <c r="VKI47" s="110"/>
      <c r="VKK47"/>
      <c r="VKM47" s="110"/>
      <c r="VKO47"/>
      <c r="VKQ47" s="110"/>
      <c r="VKS47"/>
      <c r="VKU47" s="110"/>
      <c r="VKW47"/>
      <c r="VKY47" s="110"/>
      <c r="VLA47"/>
      <c r="VLC47" s="110"/>
      <c r="VLE47"/>
      <c r="VLG47" s="110"/>
      <c r="VLI47"/>
      <c r="VLK47" s="110"/>
      <c r="VLM47"/>
      <c r="VLO47" s="110"/>
      <c r="VLQ47"/>
      <c r="VLS47" s="110"/>
      <c r="VLU47"/>
      <c r="VLW47" s="110"/>
      <c r="VLY47"/>
      <c r="VMA47" s="110"/>
      <c r="VMC47"/>
      <c r="VME47" s="110"/>
      <c r="VMG47"/>
      <c r="VMI47" s="110"/>
      <c r="VMK47"/>
      <c r="VMM47" s="110"/>
      <c r="VMO47"/>
      <c r="VMQ47" s="110"/>
      <c r="VMS47"/>
      <c r="VMU47" s="110"/>
      <c r="VMW47"/>
      <c r="VMY47" s="110"/>
      <c r="VNA47"/>
      <c r="VNC47" s="110"/>
      <c r="VNE47"/>
      <c r="VNG47" s="110"/>
      <c r="VNI47"/>
      <c r="VNK47" s="110"/>
      <c r="VNM47"/>
      <c r="VNO47" s="110"/>
      <c r="VNQ47"/>
      <c r="VNS47" s="110"/>
      <c r="VNU47"/>
      <c r="VNW47" s="110"/>
      <c r="VNY47"/>
      <c r="VOA47" s="110"/>
      <c r="VOC47"/>
      <c r="VOE47" s="110"/>
      <c r="VOG47"/>
      <c r="VOI47" s="110"/>
      <c r="VOK47"/>
      <c r="VOM47" s="110"/>
      <c r="VOO47"/>
      <c r="VOQ47" s="110"/>
      <c r="VOS47"/>
      <c r="VOU47" s="110"/>
      <c r="VOW47"/>
      <c r="VOY47" s="110"/>
      <c r="VPA47"/>
      <c r="VPC47" s="110"/>
      <c r="VPE47"/>
      <c r="VPG47" s="110"/>
      <c r="VPI47"/>
      <c r="VPK47" s="110"/>
      <c r="VPM47"/>
      <c r="VPO47" s="110"/>
      <c r="VPQ47"/>
      <c r="VPS47" s="110"/>
      <c r="VPU47"/>
      <c r="VPW47" s="110"/>
      <c r="VPY47"/>
      <c r="VQA47" s="110"/>
      <c r="VQC47"/>
      <c r="VQE47" s="110"/>
      <c r="VQG47"/>
      <c r="VQI47" s="110"/>
      <c r="VQK47"/>
      <c r="VQM47" s="110"/>
      <c r="VQO47"/>
      <c r="VQQ47" s="110"/>
      <c r="VQS47"/>
      <c r="VQU47" s="110"/>
      <c r="VQW47"/>
      <c r="VQY47" s="110"/>
      <c r="VRA47"/>
      <c r="VRC47" s="110"/>
      <c r="VRE47"/>
      <c r="VRG47" s="110"/>
      <c r="VRI47"/>
      <c r="VRK47" s="110"/>
      <c r="VRM47"/>
      <c r="VRO47" s="110"/>
      <c r="VRQ47"/>
      <c r="VRS47" s="110"/>
      <c r="VRU47"/>
      <c r="VRW47" s="110"/>
      <c r="VRY47"/>
      <c r="VSA47" s="110"/>
      <c r="VSC47"/>
      <c r="VSE47" s="110"/>
      <c r="VSG47"/>
      <c r="VSI47" s="110"/>
      <c r="VSK47"/>
      <c r="VSM47" s="110"/>
      <c r="VSO47"/>
      <c r="VSQ47" s="110"/>
      <c r="VSS47"/>
      <c r="VSU47" s="110"/>
      <c r="VSW47"/>
      <c r="VSY47" s="110"/>
      <c r="VTA47"/>
      <c r="VTC47" s="110"/>
      <c r="VTE47"/>
      <c r="VTG47" s="110"/>
      <c r="VTI47"/>
      <c r="VTK47" s="110"/>
      <c r="VTM47"/>
      <c r="VTO47" s="110"/>
      <c r="VTQ47"/>
      <c r="VTS47" s="110"/>
      <c r="VTU47"/>
      <c r="VTW47" s="110"/>
      <c r="VTY47"/>
      <c r="VUA47" s="110"/>
      <c r="VUC47"/>
      <c r="VUE47" s="110"/>
      <c r="VUG47"/>
      <c r="VUI47" s="110"/>
      <c r="VUK47"/>
      <c r="VUM47" s="110"/>
      <c r="VUO47"/>
      <c r="VUQ47" s="110"/>
      <c r="VUS47"/>
      <c r="VUU47" s="110"/>
      <c r="VUW47"/>
      <c r="VUY47" s="110"/>
      <c r="VVA47"/>
      <c r="VVC47" s="110"/>
      <c r="VVE47"/>
      <c r="VVG47" s="110"/>
      <c r="VVI47"/>
      <c r="VVK47" s="110"/>
      <c r="VVM47"/>
      <c r="VVO47" s="110"/>
      <c r="VVQ47"/>
      <c r="VVS47" s="110"/>
      <c r="VVU47"/>
      <c r="VVW47" s="110"/>
      <c r="VVY47"/>
      <c r="VWA47" s="110"/>
      <c r="VWC47"/>
      <c r="VWE47" s="110"/>
      <c r="VWG47"/>
      <c r="VWI47" s="110"/>
      <c r="VWK47"/>
      <c r="VWM47" s="110"/>
      <c r="VWO47"/>
      <c r="VWQ47" s="110"/>
      <c r="VWS47"/>
      <c r="VWU47" s="110"/>
      <c r="VWW47"/>
      <c r="VWY47" s="110"/>
      <c r="VXA47"/>
      <c r="VXC47" s="110"/>
      <c r="VXE47"/>
      <c r="VXG47" s="110"/>
      <c r="VXI47"/>
      <c r="VXK47" s="110"/>
      <c r="VXM47"/>
      <c r="VXO47" s="110"/>
      <c r="VXQ47"/>
      <c r="VXS47" s="110"/>
      <c r="VXU47"/>
      <c r="VXW47" s="110"/>
      <c r="VXY47"/>
      <c r="VYA47" s="110"/>
      <c r="VYC47"/>
      <c r="VYE47" s="110"/>
      <c r="VYG47"/>
      <c r="VYI47" s="110"/>
      <c r="VYK47"/>
      <c r="VYM47" s="110"/>
      <c r="VYO47"/>
      <c r="VYQ47" s="110"/>
      <c r="VYS47"/>
      <c r="VYU47" s="110"/>
      <c r="VYW47"/>
      <c r="VYY47" s="110"/>
      <c r="VZA47"/>
      <c r="VZC47" s="110"/>
      <c r="VZE47"/>
      <c r="VZG47" s="110"/>
      <c r="VZI47"/>
      <c r="VZK47" s="110"/>
      <c r="VZM47"/>
      <c r="VZO47" s="110"/>
      <c r="VZQ47"/>
      <c r="VZS47" s="110"/>
      <c r="VZU47"/>
      <c r="VZW47" s="110"/>
      <c r="VZY47"/>
      <c r="WAA47" s="110"/>
      <c r="WAC47"/>
      <c r="WAE47" s="110"/>
      <c r="WAG47"/>
      <c r="WAI47" s="110"/>
      <c r="WAK47"/>
      <c r="WAM47" s="110"/>
      <c r="WAO47"/>
      <c r="WAQ47" s="110"/>
      <c r="WAS47"/>
      <c r="WAU47" s="110"/>
      <c r="WAW47"/>
      <c r="WAY47" s="110"/>
      <c r="WBA47"/>
      <c r="WBC47" s="110"/>
      <c r="WBE47"/>
      <c r="WBG47" s="110"/>
      <c r="WBI47"/>
      <c r="WBK47" s="110"/>
      <c r="WBM47"/>
      <c r="WBO47" s="110"/>
      <c r="WBQ47"/>
      <c r="WBS47" s="110"/>
      <c r="WBU47"/>
      <c r="WBW47" s="110"/>
      <c r="WBY47"/>
      <c r="WCA47" s="110"/>
      <c r="WCC47"/>
      <c r="WCE47" s="110"/>
      <c r="WCG47"/>
      <c r="WCI47" s="110"/>
      <c r="WCK47"/>
      <c r="WCM47" s="110"/>
      <c r="WCO47"/>
      <c r="WCQ47" s="110"/>
      <c r="WCS47"/>
      <c r="WCU47" s="110"/>
      <c r="WCW47"/>
      <c r="WCY47" s="110"/>
      <c r="WDA47"/>
      <c r="WDC47" s="110"/>
      <c r="WDE47"/>
      <c r="WDG47" s="110"/>
      <c r="WDI47"/>
      <c r="WDK47" s="110"/>
      <c r="WDM47"/>
      <c r="WDO47" s="110"/>
      <c r="WDQ47"/>
      <c r="WDS47" s="110"/>
      <c r="WDU47"/>
      <c r="WDW47" s="110"/>
      <c r="WDY47"/>
      <c r="WEA47" s="110"/>
      <c r="WEC47"/>
      <c r="WEE47" s="110"/>
      <c r="WEG47"/>
      <c r="WEI47" s="110"/>
      <c r="WEK47"/>
      <c r="WEM47" s="110"/>
      <c r="WEO47"/>
      <c r="WEQ47" s="110"/>
      <c r="WES47"/>
      <c r="WEU47" s="110"/>
      <c r="WEW47"/>
      <c r="WEY47" s="110"/>
      <c r="WFA47"/>
      <c r="WFC47" s="110"/>
      <c r="WFE47"/>
      <c r="WFG47" s="110"/>
      <c r="WFI47"/>
      <c r="WFK47" s="110"/>
      <c r="WFM47"/>
      <c r="WFO47" s="110"/>
      <c r="WFQ47"/>
      <c r="WFS47" s="110"/>
      <c r="WFU47"/>
      <c r="WFW47" s="110"/>
      <c r="WFY47"/>
      <c r="WGA47" s="110"/>
      <c r="WGC47"/>
      <c r="WGE47" s="110"/>
      <c r="WGG47"/>
      <c r="WGI47" s="110"/>
      <c r="WGK47"/>
      <c r="WGM47" s="110"/>
      <c r="WGO47"/>
      <c r="WGQ47" s="110"/>
      <c r="WGS47"/>
      <c r="WGU47" s="110"/>
      <c r="WGW47"/>
      <c r="WGY47" s="110"/>
      <c r="WHA47"/>
      <c r="WHC47" s="110"/>
      <c r="WHE47"/>
      <c r="WHG47" s="110"/>
      <c r="WHI47"/>
      <c r="WHK47" s="110"/>
      <c r="WHM47"/>
      <c r="WHO47" s="110"/>
      <c r="WHQ47"/>
      <c r="WHS47" s="110"/>
      <c r="WHU47"/>
      <c r="WHW47" s="110"/>
      <c r="WHY47"/>
      <c r="WIA47" s="110"/>
      <c r="WIC47"/>
      <c r="WIE47" s="110"/>
      <c r="WIG47"/>
      <c r="WII47" s="110"/>
      <c r="WIK47"/>
      <c r="WIM47" s="110"/>
      <c r="WIO47"/>
      <c r="WIQ47" s="110"/>
      <c r="WIS47"/>
      <c r="WIU47" s="110"/>
      <c r="WIW47"/>
      <c r="WIY47" s="110"/>
      <c r="WJA47"/>
      <c r="WJC47" s="110"/>
      <c r="WJE47"/>
      <c r="WJG47" s="110"/>
      <c r="WJI47"/>
      <c r="WJK47" s="110"/>
      <c r="WJM47"/>
      <c r="WJO47" s="110"/>
      <c r="WJQ47"/>
      <c r="WJS47" s="110"/>
      <c r="WJU47"/>
      <c r="WJW47" s="110"/>
      <c r="WJY47"/>
      <c r="WKA47" s="110"/>
      <c r="WKC47"/>
      <c r="WKE47" s="110"/>
      <c r="WKG47"/>
      <c r="WKI47" s="110"/>
      <c r="WKK47"/>
      <c r="WKM47" s="110"/>
      <c r="WKO47"/>
      <c r="WKQ47" s="110"/>
      <c r="WKS47"/>
      <c r="WKU47" s="110"/>
      <c r="WKW47"/>
      <c r="WKY47" s="110"/>
      <c r="WLA47"/>
      <c r="WLC47" s="110"/>
      <c r="WLE47"/>
      <c r="WLG47" s="110"/>
      <c r="WLI47"/>
      <c r="WLK47" s="110"/>
      <c r="WLM47"/>
      <c r="WLO47" s="110"/>
      <c r="WLQ47"/>
      <c r="WLS47" s="110"/>
      <c r="WLU47"/>
      <c r="WLW47" s="110"/>
      <c r="WLY47"/>
      <c r="WMA47" s="110"/>
      <c r="WMC47"/>
      <c r="WME47" s="110"/>
      <c r="WMG47"/>
      <c r="WMI47" s="110"/>
      <c r="WMK47"/>
      <c r="WMM47" s="110"/>
      <c r="WMO47"/>
      <c r="WMQ47" s="110"/>
      <c r="WMS47"/>
      <c r="WMU47" s="110"/>
      <c r="WMW47"/>
      <c r="WMY47" s="110"/>
      <c r="WNA47"/>
      <c r="WNC47" s="110"/>
      <c r="WNE47"/>
      <c r="WNG47" s="110"/>
      <c r="WNI47"/>
      <c r="WNK47" s="110"/>
      <c r="WNM47"/>
      <c r="WNO47" s="110"/>
      <c r="WNQ47"/>
      <c r="WNS47" s="110"/>
      <c r="WNU47"/>
      <c r="WNW47" s="110"/>
      <c r="WNY47"/>
      <c r="WOA47" s="110"/>
      <c r="WOC47"/>
      <c r="WOE47" s="110"/>
      <c r="WOG47"/>
      <c r="WOI47" s="110"/>
      <c r="WOK47"/>
      <c r="WOM47" s="110"/>
      <c r="WOO47"/>
      <c r="WOQ47" s="110"/>
      <c r="WOS47"/>
      <c r="WOU47" s="110"/>
      <c r="WOW47"/>
      <c r="WOY47" s="110"/>
      <c r="WPA47"/>
      <c r="WPC47" s="110"/>
      <c r="WPE47"/>
      <c r="WPG47" s="110"/>
      <c r="WPI47"/>
      <c r="WPK47" s="110"/>
      <c r="WPM47"/>
      <c r="WPO47" s="110"/>
      <c r="WPQ47"/>
      <c r="WPS47" s="110"/>
      <c r="WPU47"/>
      <c r="WPW47" s="110"/>
      <c r="WPY47"/>
      <c r="WQA47" s="110"/>
      <c r="WQC47"/>
      <c r="WQE47" s="110"/>
      <c r="WQG47"/>
      <c r="WQI47" s="110"/>
      <c r="WQK47"/>
      <c r="WQM47" s="110"/>
      <c r="WQO47"/>
      <c r="WQQ47" s="110"/>
      <c r="WQS47"/>
      <c r="WQU47" s="110"/>
      <c r="WQW47"/>
      <c r="WQY47" s="110"/>
      <c r="WRA47"/>
      <c r="WRC47" s="110"/>
      <c r="WRE47"/>
      <c r="WRG47" s="110"/>
      <c r="WRI47"/>
      <c r="WRK47" s="110"/>
      <c r="WRM47"/>
      <c r="WRO47" s="110"/>
      <c r="WRQ47"/>
      <c r="WRS47" s="110"/>
      <c r="WRU47"/>
      <c r="WRW47" s="110"/>
      <c r="WRY47"/>
      <c r="WSA47" s="110"/>
      <c r="WSC47"/>
      <c r="WSE47" s="110"/>
      <c r="WSG47"/>
      <c r="WSI47" s="110"/>
      <c r="WSK47"/>
      <c r="WSM47" s="110"/>
      <c r="WSO47"/>
      <c r="WSQ47" s="110"/>
      <c r="WSS47"/>
      <c r="WSU47" s="110"/>
      <c r="WSW47"/>
      <c r="WSY47" s="110"/>
      <c r="WTA47"/>
      <c r="WTC47" s="110"/>
      <c r="WTE47"/>
      <c r="WTG47" s="110"/>
      <c r="WTI47"/>
      <c r="WTK47" s="110"/>
      <c r="WTM47"/>
      <c r="WTO47" s="110"/>
      <c r="WTQ47"/>
      <c r="WTS47" s="110"/>
      <c r="WTU47"/>
      <c r="WTW47" s="110"/>
      <c r="WTY47"/>
      <c r="WUA47" s="110"/>
      <c r="WUC47"/>
      <c r="WUE47" s="110"/>
      <c r="WUG47"/>
      <c r="WUI47" s="110"/>
      <c r="WUK47"/>
      <c r="WUM47" s="110"/>
      <c r="WUO47"/>
      <c r="WUQ47" s="110"/>
      <c r="WUS47"/>
      <c r="WUU47" s="110"/>
      <c r="WUW47"/>
      <c r="WUY47" s="110"/>
      <c r="WVA47"/>
      <c r="WVC47" s="110"/>
      <c r="WVE47"/>
      <c r="WVG47" s="110"/>
      <c r="WVI47"/>
      <c r="WVK47" s="110"/>
      <c r="WVM47"/>
      <c r="WVO47" s="110"/>
      <c r="WVQ47"/>
      <c r="WVS47" s="110"/>
      <c r="WVU47"/>
      <c r="WVW47" s="110"/>
      <c r="WVY47"/>
      <c r="WWA47" s="110"/>
      <c r="WWC47"/>
      <c r="WWE47" s="110"/>
      <c r="WWG47"/>
      <c r="WWI47" s="110"/>
      <c r="WWK47"/>
      <c r="WWM47" s="110"/>
      <c r="WWO47"/>
      <c r="WWQ47" s="110"/>
      <c r="WWS47"/>
      <c r="WWU47" s="110"/>
      <c r="WWW47"/>
      <c r="WWY47" s="110"/>
      <c r="WXA47"/>
      <c r="WXC47" s="110"/>
      <c r="WXE47"/>
      <c r="WXG47" s="110"/>
      <c r="WXI47"/>
      <c r="WXK47" s="110"/>
      <c r="WXM47"/>
      <c r="WXO47" s="110"/>
      <c r="WXQ47"/>
      <c r="WXS47" s="110"/>
      <c r="WXU47"/>
      <c r="WXW47" s="110"/>
      <c r="WXY47"/>
      <c r="WYA47" s="110"/>
      <c r="WYC47"/>
      <c r="WYE47" s="110"/>
      <c r="WYG47"/>
      <c r="WYI47" s="110"/>
      <c r="WYK47"/>
      <c r="WYM47" s="110"/>
      <c r="WYO47"/>
      <c r="WYQ47" s="110"/>
      <c r="WYS47"/>
      <c r="WYU47" s="110"/>
      <c r="WYW47"/>
      <c r="WYY47" s="110"/>
      <c r="WZA47"/>
      <c r="WZC47" s="110"/>
      <c r="WZE47"/>
      <c r="WZG47" s="110"/>
      <c r="WZI47"/>
      <c r="WZK47" s="110"/>
      <c r="WZM47"/>
      <c r="WZO47" s="110"/>
      <c r="WZQ47"/>
      <c r="WZS47" s="110"/>
      <c r="WZU47"/>
      <c r="WZW47" s="110"/>
      <c r="WZY47"/>
      <c r="XAA47" s="110"/>
      <c r="XAC47"/>
      <c r="XAE47" s="110"/>
      <c r="XAG47"/>
      <c r="XAI47" s="110"/>
      <c r="XAK47"/>
      <c r="XAM47" s="110"/>
      <c r="XAO47"/>
      <c r="XAQ47" s="110"/>
      <c r="XAS47"/>
      <c r="XAU47" s="110"/>
      <c r="XAW47"/>
      <c r="XAY47" s="110"/>
      <c r="XBA47"/>
      <c r="XBC47" s="110"/>
      <c r="XBE47"/>
      <c r="XBG47" s="110"/>
      <c r="XBI47"/>
      <c r="XBK47" s="110"/>
      <c r="XBM47"/>
      <c r="XBO47" s="110"/>
      <c r="XBQ47"/>
      <c r="XBS47" s="110"/>
      <c r="XBU47"/>
      <c r="XBW47" s="110"/>
      <c r="XBY47"/>
      <c r="XCA47" s="110"/>
      <c r="XCC47"/>
      <c r="XCE47" s="110"/>
      <c r="XCG47"/>
      <c r="XCI47" s="110"/>
      <c r="XCK47"/>
      <c r="XCM47" s="110"/>
      <c r="XCO47"/>
      <c r="XCQ47" s="110"/>
      <c r="XCS47"/>
      <c r="XCU47" s="110"/>
      <c r="XCW47"/>
      <c r="XCY47" s="110"/>
      <c r="XDA47"/>
      <c r="XDC47" s="110"/>
      <c r="XDE47"/>
      <c r="XDG47" s="110"/>
      <c r="XDI47"/>
      <c r="XDK47" s="110"/>
      <c r="XDM47"/>
      <c r="XDO47" s="110"/>
      <c r="XDQ47"/>
      <c r="XDS47" s="110"/>
      <c r="XDU47"/>
      <c r="XDW47" s="110"/>
      <c r="XDY47"/>
      <c r="XEA47" s="110"/>
      <c r="XEC47"/>
      <c r="XEE47" s="110"/>
      <c r="XEG47"/>
      <c r="XEI47" s="110"/>
      <c r="XEK47"/>
      <c r="XEM47" s="110"/>
      <c r="XEO47"/>
      <c r="XEQ47" s="110"/>
      <c r="XES47"/>
      <c r="XEU47" s="110"/>
      <c r="XEW47"/>
      <c r="XEY47" s="110"/>
      <c r="XFA47"/>
      <c r="XFC47" s="110"/>
    </row>
    <row r="48" spans="1:1023 1025:2047 2049:3071 3073:4095 4097:5119 5121:6143 6145:7167 7169:8191 8193:9215 9217:10239 10241:11263 11265:12287 12289:13311 13313:14335 14337:15359 15361:16383" x14ac:dyDescent="0.25">
      <c r="B48" t="s">
        <v>64</v>
      </c>
    </row>
    <row r="49" spans="2:4" x14ac:dyDescent="0.25">
      <c r="B49" t="s">
        <v>270</v>
      </c>
    </row>
    <row r="50" spans="2:4" x14ac:dyDescent="0.25">
      <c r="B50" t="s">
        <v>332</v>
      </c>
    </row>
    <row r="51" spans="2:4" x14ac:dyDescent="0.25">
      <c r="B51" t="s">
        <v>317</v>
      </c>
    </row>
    <row r="52" spans="2:4" x14ac:dyDescent="0.25">
      <c r="B52" t="s">
        <v>221</v>
      </c>
    </row>
    <row r="53" spans="2:4" x14ac:dyDescent="0.25">
      <c r="B53" t="s">
        <v>289</v>
      </c>
    </row>
    <row r="54" spans="2:4" x14ac:dyDescent="0.25">
      <c r="B54" t="s">
        <v>369</v>
      </c>
      <c r="D54" t="s">
        <v>368</v>
      </c>
    </row>
    <row r="55" spans="2:4" x14ac:dyDescent="0.25">
      <c r="B55" t="s">
        <v>348</v>
      </c>
    </row>
    <row r="56" spans="2:4" x14ac:dyDescent="0.25">
      <c r="B56" t="s">
        <v>322</v>
      </c>
    </row>
  </sheetData>
  <sortState ref="B4:B58">
    <sortCondition ref="B4:B58"/>
  </sortState>
  <pageMargins left="0.7" right="0.7" top="0.75" bottom="0.75" header="0.3" footer="0.3"/>
  <pageSetup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A1:H54"/>
  <sheetViews>
    <sheetView workbookViewId="0">
      <selection activeCell="B4" sqref="B4:D4"/>
    </sheetView>
  </sheetViews>
  <sheetFormatPr baseColWidth="10" defaultColWidth="11.42578125" defaultRowHeight="15" x14ac:dyDescent="0.25"/>
  <cols>
    <col min="1" max="1" width="21.7109375" style="1" customWidth="1"/>
    <col min="2" max="2" width="11.5703125" style="1" customWidth="1"/>
    <col min="3" max="3" width="11.42578125" style="1" customWidth="1"/>
    <col min="4" max="4" width="17" style="1" customWidth="1"/>
    <col min="5" max="5" width="14.5703125" style="1" customWidth="1"/>
    <col min="6" max="6" width="45.140625" style="1" bestFit="1" customWidth="1"/>
    <col min="7" max="16384" width="11.42578125" style="1"/>
  </cols>
  <sheetData>
    <row r="1" spans="1:6" ht="37.5" customHeight="1" x14ac:dyDescent="0.25">
      <c r="A1" s="132" t="s">
        <v>385</v>
      </c>
      <c r="B1" s="132"/>
      <c r="C1" s="132"/>
      <c r="D1" s="132"/>
      <c r="E1" s="132"/>
      <c r="F1" s="132"/>
    </row>
    <row r="2" spans="1:6" s="4" customFormat="1" ht="26.25" customHeight="1" thickBot="1" x14ac:dyDescent="0.4">
      <c r="A2" s="133"/>
      <c r="B2" s="133"/>
      <c r="C2" s="133"/>
      <c r="D2" s="133"/>
      <c r="E2" s="133"/>
      <c r="F2" s="133"/>
    </row>
    <row r="3" spans="1:6" ht="12" customHeight="1" x14ac:dyDescent="0.25">
      <c r="A3" s="28"/>
      <c r="B3" s="29"/>
      <c r="C3" s="29"/>
      <c r="D3" s="29"/>
      <c r="E3" s="29"/>
      <c r="F3" s="30"/>
    </row>
    <row r="4" spans="1:6" s="2" customFormat="1" ht="12" customHeight="1" thickBot="1" x14ac:dyDescent="0.3">
      <c r="A4" s="13" t="s">
        <v>60</v>
      </c>
      <c r="B4" s="118" t="s">
        <v>402</v>
      </c>
      <c r="C4" s="118"/>
      <c r="D4" s="118"/>
      <c r="E4" s="32"/>
      <c r="F4" s="33"/>
    </row>
    <row r="5" spans="1:6" s="2" customFormat="1" ht="12" customHeight="1" x14ac:dyDescent="0.25">
      <c r="A5" s="12"/>
      <c r="B5" s="34"/>
      <c r="C5" s="34"/>
      <c r="D5" s="34"/>
      <c r="E5" s="34"/>
      <c r="F5" s="35"/>
    </row>
    <row r="6" spans="1:6" s="2" customFormat="1" ht="12" customHeight="1" thickBot="1" x14ac:dyDescent="0.3">
      <c r="A6" s="13" t="s">
        <v>16</v>
      </c>
      <c r="B6" s="31"/>
      <c r="C6" s="32"/>
      <c r="D6" s="32"/>
      <c r="E6" s="32"/>
      <c r="F6" s="33"/>
    </row>
    <row r="7" spans="1:6" s="5" customFormat="1" ht="12" customHeight="1" x14ac:dyDescent="0.25">
      <c r="A7" s="36"/>
      <c r="B7" s="37"/>
      <c r="C7" s="37"/>
      <c r="D7" s="37"/>
      <c r="E7" s="37"/>
      <c r="F7" s="38"/>
    </row>
    <row r="8" spans="1:6" s="5" customFormat="1" ht="12" customHeight="1" thickBot="1" x14ac:dyDescent="0.3">
      <c r="A8" s="36"/>
      <c r="B8" s="37"/>
      <c r="C8" s="37"/>
      <c r="D8" s="134" t="s">
        <v>61</v>
      </c>
      <c r="E8" s="134"/>
      <c r="F8" s="53">
        <f ca="1">NOW()</f>
        <v>46196.458986458332</v>
      </c>
    </row>
    <row r="9" spans="1:6" s="2" customFormat="1" ht="12" customHeight="1" thickBot="1" x14ac:dyDescent="0.3">
      <c r="A9" s="39"/>
      <c r="B9" s="32"/>
      <c r="C9" s="32"/>
      <c r="D9" s="32"/>
      <c r="E9" s="32"/>
      <c r="F9" s="64">
        <f ca="1">NOW()</f>
        <v>46196.458986458332</v>
      </c>
    </row>
    <row r="10" spans="1:6" s="6" customFormat="1" ht="13.5" thickBot="1" x14ac:dyDescent="0.25">
      <c r="A10" s="135" t="s">
        <v>17</v>
      </c>
      <c r="B10" s="136"/>
      <c r="C10" s="136"/>
      <c r="D10" s="136"/>
      <c r="E10" s="136"/>
      <c r="F10" s="137"/>
    </row>
    <row r="11" spans="1:6" s="14" customFormat="1" ht="13.5" thickBot="1" x14ac:dyDescent="0.25">
      <c r="A11" s="40" t="s">
        <v>11</v>
      </c>
      <c r="B11" s="40" t="s">
        <v>12</v>
      </c>
      <c r="C11" s="40" t="s">
        <v>13</v>
      </c>
      <c r="D11" s="40" t="s">
        <v>37</v>
      </c>
      <c r="E11" s="40" t="s">
        <v>51</v>
      </c>
      <c r="F11" s="40" t="s">
        <v>10</v>
      </c>
    </row>
    <row r="12" spans="1:6" x14ac:dyDescent="0.25">
      <c r="A12" s="11" t="s">
        <v>49</v>
      </c>
      <c r="B12" s="45" t="s">
        <v>50</v>
      </c>
      <c r="C12" s="45" t="s">
        <v>384</v>
      </c>
      <c r="D12" s="45"/>
      <c r="E12" s="46"/>
      <c r="F12" s="129" t="s">
        <v>400</v>
      </c>
    </row>
    <row r="13" spans="1:6" x14ac:dyDescent="0.25">
      <c r="A13" s="9" t="s">
        <v>62</v>
      </c>
      <c r="B13" s="45"/>
      <c r="C13" s="45"/>
      <c r="D13" s="45"/>
      <c r="E13" s="46"/>
      <c r="F13" s="130"/>
    </row>
    <row r="14" spans="1:6" x14ac:dyDescent="0.25">
      <c r="A14" s="9" t="s">
        <v>54</v>
      </c>
      <c r="B14" s="45"/>
      <c r="C14" s="45"/>
      <c r="D14" s="45"/>
      <c r="E14" s="45"/>
      <c r="F14" s="130"/>
    </row>
    <row r="15" spans="1:6" x14ac:dyDescent="0.25">
      <c r="A15" s="9" t="s">
        <v>56</v>
      </c>
      <c r="B15" s="45"/>
      <c r="C15" s="45"/>
      <c r="D15" s="45"/>
      <c r="E15" s="49"/>
      <c r="F15" s="131"/>
    </row>
    <row r="16" spans="1:6" x14ac:dyDescent="0.25">
      <c r="A16" s="47" t="s">
        <v>59</v>
      </c>
      <c r="B16" s="50"/>
      <c r="C16" s="48"/>
      <c r="D16" s="48"/>
      <c r="E16" s="51"/>
      <c r="F16" s="52"/>
    </row>
    <row r="17" spans="1:6" ht="15.75" thickBot="1" x14ac:dyDescent="0.3">
      <c r="A17" s="10" t="s">
        <v>1</v>
      </c>
      <c r="B17" s="166"/>
      <c r="C17" s="167"/>
      <c r="D17" s="167"/>
      <c r="E17" s="167"/>
      <c r="F17" s="168"/>
    </row>
    <row r="18" spans="1:6" s="14" customFormat="1" ht="13.5" thickBot="1" x14ac:dyDescent="0.25">
      <c r="A18" s="135" t="s">
        <v>18</v>
      </c>
      <c r="B18" s="136"/>
      <c r="C18" s="136"/>
      <c r="D18" s="136"/>
      <c r="E18" s="136"/>
      <c r="F18" s="137"/>
    </row>
    <row r="19" spans="1:6" s="14" customFormat="1" ht="13.5" thickBot="1" x14ac:dyDescent="0.25">
      <c r="A19" s="43" t="s">
        <v>11</v>
      </c>
      <c r="B19" s="43" t="s">
        <v>14</v>
      </c>
      <c r="C19" s="43" t="s">
        <v>15</v>
      </c>
      <c r="D19" s="135" t="s">
        <v>10</v>
      </c>
      <c r="E19" s="136"/>
      <c r="F19" s="137"/>
    </row>
    <row r="20" spans="1:6" x14ac:dyDescent="0.25">
      <c r="A20" s="8" t="s">
        <v>2</v>
      </c>
      <c r="B20" s="44"/>
      <c r="C20" s="44"/>
      <c r="D20" s="144"/>
      <c r="E20" s="145"/>
      <c r="F20" s="146"/>
    </row>
    <row r="21" spans="1:6" x14ac:dyDescent="0.25">
      <c r="A21" s="9" t="s">
        <v>3</v>
      </c>
      <c r="B21" s="41"/>
      <c r="C21" s="41"/>
      <c r="D21" s="169"/>
      <c r="E21" s="170"/>
      <c r="F21" s="171"/>
    </row>
    <row r="22" spans="1:6" x14ac:dyDescent="0.25">
      <c r="A22" s="9" t="s">
        <v>4</v>
      </c>
      <c r="B22" s="41"/>
      <c r="C22" s="41"/>
      <c r="D22" s="147"/>
      <c r="E22" s="148"/>
      <c r="F22" s="149"/>
    </row>
    <row r="23" spans="1:6" x14ac:dyDescent="0.25">
      <c r="A23" s="9" t="s">
        <v>5</v>
      </c>
      <c r="B23" s="41"/>
      <c r="C23" s="41"/>
      <c r="D23" s="147"/>
      <c r="E23" s="148"/>
      <c r="F23" s="149"/>
    </row>
    <row r="24" spans="1:6" x14ac:dyDescent="0.25">
      <c r="A24" s="9" t="s">
        <v>6</v>
      </c>
      <c r="B24" s="41"/>
      <c r="C24" s="41"/>
      <c r="D24" s="147"/>
      <c r="E24" s="148"/>
      <c r="F24" s="149"/>
    </row>
    <row r="25" spans="1:6" x14ac:dyDescent="0.25">
      <c r="A25" s="9" t="s">
        <v>7</v>
      </c>
      <c r="B25" s="41"/>
      <c r="C25" s="41"/>
      <c r="D25" s="147"/>
      <c r="E25" s="148"/>
      <c r="F25" s="149"/>
    </row>
    <row r="26" spans="1:6" x14ac:dyDescent="0.25">
      <c r="A26" s="9" t="s">
        <v>1</v>
      </c>
      <c r="B26" s="41"/>
      <c r="C26" s="41"/>
      <c r="D26" s="147"/>
      <c r="E26" s="148"/>
      <c r="F26" s="149"/>
    </row>
    <row r="27" spans="1:6" ht="15.75" thickBot="1" x14ac:dyDescent="0.3">
      <c r="A27" s="10" t="s">
        <v>1</v>
      </c>
      <c r="B27" s="42"/>
      <c r="C27" s="42"/>
      <c r="D27" s="150"/>
      <c r="E27" s="151"/>
      <c r="F27" s="152"/>
    </row>
    <row r="28" spans="1:6" s="14" customFormat="1" ht="13.5" thickBot="1" x14ac:dyDescent="0.25">
      <c r="A28" s="138" t="s">
        <v>8</v>
      </c>
      <c r="B28" s="139"/>
      <c r="C28" s="139"/>
      <c r="D28" s="139"/>
      <c r="E28" s="139"/>
      <c r="F28" s="140"/>
    </row>
    <row r="29" spans="1:6" s="3" customFormat="1" ht="18.75" x14ac:dyDescent="0.3">
      <c r="A29" s="8" t="s">
        <v>9</v>
      </c>
      <c r="B29" s="44"/>
      <c r="C29" s="155"/>
      <c r="D29" s="155"/>
      <c r="E29" s="144"/>
      <c r="F29" s="156"/>
    </row>
    <row r="30" spans="1:6" x14ac:dyDescent="0.25">
      <c r="A30" s="9" t="s">
        <v>47</v>
      </c>
      <c r="B30" s="41"/>
      <c r="C30" s="157"/>
      <c r="D30" s="157"/>
      <c r="E30" s="147"/>
      <c r="F30" s="158"/>
    </row>
    <row r="31" spans="1:6" x14ac:dyDescent="0.25">
      <c r="B31" s="41"/>
      <c r="C31" s="157"/>
      <c r="D31" s="157"/>
      <c r="E31" s="147"/>
      <c r="F31" s="158"/>
    </row>
    <row r="32" spans="1:6" x14ac:dyDescent="0.25">
      <c r="A32" s="9"/>
      <c r="B32" s="41"/>
      <c r="C32" s="157"/>
      <c r="D32" s="157"/>
      <c r="E32" s="147"/>
      <c r="F32" s="158"/>
    </row>
    <row r="33" spans="1:8" ht="15.75" thickBot="1" x14ac:dyDescent="0.3">
      <c r="A33" s="10"/>
      <c r="B33" s="42"/>
      <c r="C33" s="159"/>
      <c r="D33" s="159"/>
      <c r="E33" s="150"/>
      <c r="F33" s="160"/>
    </row>
    <row r="34" spans="1:8" ht="12.95" customHeight="1" x14ac:dyDescent="0.25">
      <c r="A34" s="54" t="s">
        <v>19</v>
      </c>
      <c r="B34" s="54"/>
      <c r="C34" s="54"/>
      <c r="D34" s="54"/>
      <c r="E34" s="54"/>
      <c r="F34" s="54"/>
      <c r="G34" s="7"/>
      <c r="H34" s="7"/>
    </row>
    <row r="35" spans="1:8" ht="12.95" customHeight="1" x14ac:dyDescent="0.25">
      <c r="A35" s="7" t="s">
        <v>20</v>
      </c>
      <c r="B35"/>
      <c r="C35"/>
      <c r="D35"/>
      <c r="E35"/>
      <c r="F35"/>
      <c r="G35" s="7"/>
      <c r="H35" s="7"/>
    </row>
    <row r="36" spans="1:8" ht="12.95" customHeight="1" x14ac:dyDescent="0.25">
      <c r="A36" s="153" t="s">
        <v>21</v>
      </c>
      <c r="B36" s="154"/>
      <c r="C36" s="154"/>
      <c r="D36" s="154"/>
      <c r="E36" s="154"/>
      <c r="F36" s="154"/>
      <c r="G36" s="7"/>
      <c r="H36" s="7"/>
    </row>
    <row r="37" spans="1:8" ht="12.95" customHeight="1" x14ac:dyDescent="0.25">
      <c r="A37" s="153" t="s">
        <v>22</v>
      </c>
      <c r="B37" s="154"/>
      <c r="C37" s="154"/>
      <c r="D37" s="154"/>
      <c r="E37" s="154"/>
      <c r="F37" s="154"/>
      <c r="G37" s="7"/>
      <c r="H37" s="7"/>
    </row>
    <row r="38" spans="1:8" ht="12.95" customHeight="1" x14ac:dyDescent="0.25">
      <c r="A38" s="153" t="s">
        <v>23</v>
      </c>
      <c r="B38" s="154"/>
      <c r="C38" s="154"/>
      <c r="D38" s="154"/>
      <c r="E38" s="154"/>
      <c r="F38" s="154"/>
      <c r="G38" s="7"/>
      <c r="H38" s="7"/>
    </row>
    <row r="39" spans="1:8" ht="12.95" customHeight="1" x14ac:dyDescent="0.25">
      <c r="A39" s="153" t="s">
        <v>24</v>
      </c>
      <c r="B39" s="154"/>
      <c r="C39" s="154"/>
      <c r="D39" s="154"/>
      <c r="E39" s="154"/>
      <c r="F39" s="154"/>
      <c r="G39" s="7"/>
      <c r="H39" s="7"/>
    </row>
    <row r="40" spans="1:8" ht="12.95" customHeight="1" x14ac:dyDescent="0.25">
      <c r="A40" s="153" t="s">
        <v>25</v>
      </c>
      <c r="B40" s="154"/>
      <c r="C40" s="154"/>
      <c r="D40" s="154"/>
      <c r="E40" s="154"/>
      <c r="F40" s="154"/>
      <c r="G40" s="7"/>
      <c r="H40" s="7"/>
    </row>
    <row r="41" spans="1:8" ht="12.95" customHeight="1" x14ac:dyDescent="0.25">
      <c r="A41" s="153" t="s">
        <v>26</v>
      </c>
      <c r="B41" s="154"/>
      <c r="C41" s="154"/>
      <c r="D41" s="154"/>
      <c r="E41" s="154"/>
      <c r="F41" s="154"/>
      <c r="G41" s="7"/>
      <c r="H41" s="7"/>
    </row>
    <row r="42" spans="1:8" ht="12.95" customHeight="1" x14ac:dyDescent="0.25">
      <c r="A42" s="153" t="s">
        <v>27</v>
      </c>
      <c r="B42" s="154"/>
      <c r="C42" s="154"/>
      <c r="D42" s="154"/>
      <c r="E42" s="154"/>
      <c r="F42" s="154"/>
      <c r="G42" s="7"/>
      <c r="H42" s="7"/>
    </row>
    <row r="43" spans="1:8" ht="12.95" customHeight="1" x14ac:dyDescent="0.25">
      <c r="A43" s="153" t="s">
        <v>28</v>
      </c>
      <c r="B43" s="154"/>
      <c r="C43" s="154"/>
      <c r="D43" s="154"/>
      <c r="E43" s="154"/>
      <c r="F43" s="154"/>
      <c r="G43" s="7"/>
      <c r="H43" s="7"/>
    </row>
    <row r="44" spans="1:8" ht="12.95" customHeight="1" x14ac:dyDescent="0.25">
      <c r="A44" s="153" t="s">
        <v>29</v>
      </c>
      <c r="B44" s="154"/>
      <c r="C44" s="154"/>
      <c r="D44" s="154"/>
      <c r="E44" s="154"/>
      <c r="F44" s="154"/>
      <c r="G44" s="7"/>
      <c r="H44" s="7"/>
    </row>
    <row r="45" spans="1:8" ht="12.95" customHeight="1" x14ac:dyDescent="0.25">
      <c r="A45" s="153" t="s">
        <v>30</v>
      </c>
      <c r="B45" s="154"/>
      <c r="C45" s="154"/>
      <c r="D45" s="154"/>
      <c r="E45" s="154"/>
      <c r="F45" s="154"/>
      <c r="G45" s="7"/>
      <c r="H45" s="7"/>
    </row>
    <row r="46" spans="1:8" ht="12.95" customHeight="1" x14ac:dyDescent="0.25">
      <c r="A46" s="153" t="s">
        <v>31</v>
      </c>
      <c r="B46" s="154"/>
      <c r="C46" s="154"/>
      <c r="D46" s="154"/>
      <c r="E46" s="154"/>
      <c r="F46" s="154"/>
      <c r="G46" s="7"/>
      <c r="H46" s="7"/>
    </row>
    <row r="47" spans="1:8" ht="12.95" customHeight="1" x14ac:dyDescent="0.25">
      <c r="A47" s="153" t="s">
        <v>32</v>
      </c>
      <c r="B47" s="154"/>
      <c r="C47" s="154"/>
      <c r="D47" s="154"/>
      <c r="E47" s="154"/>
      <c r="F47" s="154"/>
      <c r="G47" s="7"/>
      <c r="H47" s="7"/>
    </row>
    <row r="48" spans="1:8" ht="12.95" customHeight="1" x14ac:dyDescent="0.25">
      <c r="A48" s="153" t="s">
        <v>33</v>
      </c>
      <c r="B48" s="154"/>
      <c r="C48" s="154"/>
      <c r="D48" s="154"/>
      <c r="E48" s="154"/>
      <c r="F48" s="154"/>
      <c r="G48" s="7"/>
      <c r="H48" s="7"/>
    </row>
    <row r="49" spans="1:8" ht="12.95" customHeight="1" x14ac:dyDescent="0.25">
      <c r="A49" s="153" t="s">
        <v>34</v>
      </c>
      <c r="B49" s="154"/>
      <c r="C49" s="154"/>
      <c r="D49" s="154"/>
      <c r="E49" s="154"/>
      <c r="F49" s="154"/>
      <c r="G49" s="7"/>
      <c r="H49" s="7"/>
    </row>
    <row r="50" spans="1:8" ht="12.95" customHeight="1" x14ac:dyDescent="0.25"/>
    <row r="51" spans="1:8" ht="12.95" customHeight="1" x14ac:dyDescent="0.25"/>
    <row r="52" spans="1:8" ht="12.95" customHeight="1" x14ac:dyDescent="0.25"/>
    <row r="53" spans="1:8" ht="12.95" customHeight="1" x14ac:dyDescent="0.25">
      <c r="A53" s="161" t="s">
        <v>36</v>
      </c>
      <c r="B53" s="161"/>
      <c r="C53" s="161"/>
      <c r="D53" s="161"/>
      <c r="E53" s="161"/>
      <c r="F53" s="161"/>
    </row>
    <row r="54" spans="1:8" ht="12.95" customHeight="1" x14ac:dyDescent="0.25">
      <c r="A54" s="162" t="s">
        <v>35</v>
      </c>
      <c r="B54" s="162"/>
      <c r="C54" s="162"/>
      <c r="D54" s="162"/>
      <c r="E54" s="162"/>
      <c r="F54" s="162"/>
    </row>
  </sheetData>
  <mergeCells count="39">
    <mergeCell ref="A49:F49"/>
    <mergeCell ref="A53:F53"/>
    <mergeCell ref="A54:F54"/>
    <mergeCell ref="A43:F43"/>
    <mergeCell ref="A44:F44"/>
    <mergeCell ref="A45:F45"/>
    <mergeCell ref="A46:F46"/>
    <mergeCell ref="A47:F47"/>
    <mergeCell ref="A48:F48"/>
    <mergeCell ref="A42:F42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1:F41"/>
    <mergeCell ref="A28:F28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F12:F15"/>
    <mergeCell ref="A1:F1"/>
    <mergeCell ref="A2:F2"/>
    <mergeCell ref="B4:D4"/>
    <mergeCell ref="D8:E8"/>
    <mergeCell ref="A10:F10"/>
  </mergeCells>
  <printOptions horizontalCentered="1"/>
  <pageMargins left="0" right="0" top="0" bottom="0" header="0.31496062992125984" footer="0.31496062992125984"/>
  <pageSetup paperSize="9" scale="8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USUARIOS!$B$4:$B$56</xm:f>
          </x14:formula1>
          <xm:sqref>B4:D4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A1:H54"/>
  <sheetViews>
    <sheetView workbookViewId="0">
      <selection activeCell="F16" sqref="F16"/>
    </sheetView>
  </sheetViews>
  <sheetFormatPr baseColWidth="10" defaultColWidth="11.42578125" defaultRowHeight="15" x14ac:dyDescent="0.25"/>
  <cols>
    <col min="1" max="1" width="21.7109375" style="1" customWidth="1"/>
    <col min="2" max="2" width="11.5703125" style="1" customWidth="1"/>
    <col min="3" max="3" width="11.42578125" style="1" customWidth="1"/>
    <col min="4" max="5" width="14.5703125" style="1" customWidth="1"/>
    <col min="6" max="6" width="45.140625" style="1" bestFit="1" customWidth="1"/>
    <col min="7" max="16384" width="11.42578125" style="1"/>
  </cols>
  <sheetData>
    <row r="1" spans="1:6" ht="37.5" customHeight="1" x14ac:dyDescent="0.25">
      <c r="A1" s="132" t="s">
        <v>0</v>
      </c>
      <c r="B1" s="132"/>
      <c r="C1" s="132"/>
      <c r="D1" s="132"/>
      <c r="E1" s="132"/>
      <c r="F1" s="132"/>
    </row>
    <row r="2" spans="1:6" s="4" customFormat="1" ht="26.25" customHeight="1" thickBot="1" x14ac:dyDescent="0.4">
      <c r="A2" s="133"/>
      <c r="B2" s="133"/>
      <c r="C2" s="133"/>
      <c r="D2" s="133"/>
      <c r="E2" s="133"/>
      <c r="F2" s="133"/>
    </row>
    <row r="3" spans="1:6" ht="12" customHeight="1" x14ac:dyDescent="0.25">
      <c r="A3" s="28"/>
      <c r="B3" s="29"/>
      <c r="C3" s="29"/>
      <c r="D3" s="29"/>
      <c r="E3" s="29"/>
      <c r="F3" s="30"/>
    </row>
    <row r="4" spans="1:6" s="2" customFormat="1" ht="12" customHeight="1" thickBot="1" x14ac:dyDescent="0.3">
      <c r="A4" s="13" t="s">
        <v>60</v>
      </c>
      <c r="B4" s="118" t="s">
        <v>239</v>
      </c>
      <c r="C4" s="118"/>
      <c r="D4" s="118"/>
      <c r="E4" s="32"/>
      <c r="F4" s="33"/>
    </row>
    <row r="5" spans="1:6" s="2" customFormat="1" ht="12" customHeight="1" x14ac:dyDescent="0.25">
      <c r="A5" s="12"/>
      <c r="B5" s="34"/>
      <c r="C5" s="34"/>
      <c r="D5" s="34"/>
      <c r="E5" s="34"/>
      <c r="F5" s="35"/>
    </row>
    <row r="6" spans="1:6" s="2" customFormat="1" ht="12" customHeight="1" thickBot="1" x14ac:dyDescent="0.3">
      <c r="A6" s="13" t="s">
        <v>16</v>
      </c>
      <c r="B6" s="31" t="s">
        <v>240</v>
      </c>
      <c r="C6" s="32"/>
      <c r="D6" s="32"/>
      <c r="E6" s="32"/>
      <c r="F6" s="33"/>
    </row>
    <row r="7" spans="1:6" s="5" customFormat="1" ht="12" customHeight="1" x14ac:dyDescent="0.25">
      <c r="A7" s="36"/>
      <c r="B7" s="37"/>
      <c r="C7" s="37"/>
      <c r="D7" s="37"/>
      <c r="E7" s="37"/>
      <c r="F7" s="38"/>
    </row>
    <row r="8" spans="1:6" s="5" customFormat="1" ht="12" customHeight="1" thickBot="1" x14ac:dyDescent="0.3">
      <c r="A8" s="36"/>
      <c r="B8" s="37"/>
      <c r="C8" s="37"/>
      <c r="D8" s="134" t="s">
        <v>61</v>
      </c>
      <c r="E8" s="134"/>
      <c r="F8" s="53">
        <f ca="1">NOW()</f>
        <v>46196.458986458332</v>
      </c>
    </row>
    <row r="9" spans="1:6" s="2" customFormat="1" ht="12" customHeight="1" thickBot="1" x14ac:dyDescent="0.3">
      <c r="A9" s="39"/>
      <c r="B9" s="32"/>
      <c r="C9" s="32"/>
      <c r="D9" s="32"/>
      <c r="E9" s="32"/>
      <c r="F9" s="64">
        <f ca="1">NOW()</f>
        <v>46196.458986458332</v>
      </c>
    </row>
    <row r="10" spans="1:6" s="6" customFormat="1" ht="13.5" thickBot="1" x14ac:dyDescent="0.25">
      <c r="A10" s="135" t="s">
        <v>17</v>
      </c>
      <c r="B10" s="136"/>
      <c r="C10" s="136"/>
      <c r="D10" s="136"/>
      <c r="E10" s="136"/>
      <c r="F10" s="137"/>
    </row>
    <row r="11" spans="1:6" s="14" customFormat="1" ht="13.5" thickBot="1" x14ac:dyDescent="0.25">
      <c r="A11" s="40" t="s">
        <v>11</v>
      </c>
      <c r="B11" s="40" t="s">
        <v>12</v>
      </c>
      <c r="C11" s="40" t="s">
        <v>13</v>
      </c>
      <c r="D11" s="40" t="s">
        <v>37</v>
      </c>
      <c r="E11" s="40" t="s">
        <v>51</v>
      </c>
      <c r="F11" s="40" t="s">
        <v>10</v>
      </c>
    </row>
    <row r="12" spans="1:6" x14ac:dyDescent="0.25">
      <c r="A12" s="11" t="s">
        <v>49</v>
      </c>
      <c r="B12" s="45" t="s">
        <v>50</v>
      </c>
      <c r="C12" s="45"/>
      <c r="D12" s="45"/>
      <c r="E12" s="46"/>
      <c r="F12" s="129" t="s">
        <v>241</v>
      </c>
    </row>
    <row r="13" spans="1:6" x14ac:dyDescent="0.25">
      <c r="A13" s="9" t="s">
        <v>52</v>
      </c>
      <c r="B13" s="45"/>
      <c r="C13" s="45"/>
      <c r="D13" s="45"/>
      <c r="E13" s="46"/>
      <c r="F13" s="130"/>
    </row>
    <row r="14" spans="1:6" x14ac:dyDescent="0.25">
      <c r="A14" s="9" t="s">
        <v>54</v>
      </c>
      <c r="B14" s="45"/>
      <c r="C14" s="45"/>
      <c r="D14" s="55"/>
      <c r="E14" s="49"/>
      <c r="F14" s="130"/>
    </row>
    <row r="15" spans="1:6" x14ac:dyDescent="0.25">
      <c r="A15" s="9" t="s">
        <v>56</v>
      </c>
      <c r="B15" s="45"/>
      <c r="C15" s="45"/>
      <c r="D15" s="45"/>
      <c r="E15" s="49"/>
      <c r="F15" s="131"/>
    </row>
    <row r="16" spans="1:6" x14ac:dyDescent="0.25">
      <c r="A16" s="47" t="s">
        <v>59</v>
      </c>
      <c r="B16" s="50"/>
      <c r="C16" s="48"/>
      <c r="D16" s="48"/>
      <c r="E16" s="51"/>
      <c r="F16" s="52"/>
    </row>
    <row r="17" spans="1:6" ht="21.75" thickBot="1" x14ac:dyDescent="0.4">
      <c r="A17" s="10" t="s">
        <v>1</v>
      </c>
      <c r="B17" s="141"/>
      <c r="C17" s="142"/>
      <c r="D17" s="142"/>
      <c r="E17" s="142"/>
      <c r="F17" s="143"/>
    </row>
    <row r="18" spans="1:6" s="14" customFormat="1" ht="13.5" thickBot="1" x14ac:dyDescent="0.25">
      <c r="A18" s="135" t="s">
        <v>18</v>
      </c>
      <c r="B18" s="136"/>
      <c r="C18" s="136"/>
      <c r="D18" s="136"/>
      <c r="E18" s="136"/>
      <c r="F18" s="137"/>
    </row>
    <row r="19" spans="1:6" s="14" customFormat="1" ht="13.5" thickBot="1" x14ac:dyDescent="0.25">
      <c r="A19" s="43" t="s">
        <v>11</v>
      </c>
      <c r="B19" s="43" t="s">
        <v>14</v>
      </c>
      <c r="C19" s="43" t="s">
        <v>15</v>
      </c>
      <c r="D19" s="135" t="s">
        <v>10</v>
      </c>
      <c r="E19" s="136"/>
      <c r="F19" s="137"/>
    </row>
    <row r="20" spans="1:6" x14ac:dyDescent="0.25">
      <c r="A20" s="8" t="s">
        <v>2</v>
      </c>
      <c r="B20" s="44"/>
      <c r="C20" s="44"/>
      <c r="D20" s="144"/>
      <c r="E20" s="145"/>
      <c r="F20" s="146"/>
    </row>
    <row r="21" spans="1:6" x14ac:dyDescent="0.25">
      <c r="A21" s="9" t="s">
        <v>3</v>
      </c>
      <c r="B21" s="41"/>
      <c r="C21" s="41"/>
      <c r="D21" s="147"/>
      <c r="E21" s="148"/>
      <c r="F21" s="149"/>
    </row>
    <row r="22" spans="1:6" x14ac:dyDescent="0.25">
      <c r="A22" s="9" t="s">
        <v>4</v>
      </c>
      <c r="B22" s="41"/>
      <c r="C22" s="41"/>
      <c r="D22" s="147"/>
      <c r="E22" s="148"/>
      <c r="F22" s="149"/>
    </row>
    <row r="23" spans="1:6" x14ac:dyDescent="0.25">
      <c r="A23" s="9" t="s">
        <v>5</v>
      </c>
      <c r="B23" s="41"/>
      <c r="C23" s="41"/>
      <c r="D23" s="147"/>
      <c r="E23" s="148"/>
      <c r="F23" s="149"/>
    </row>
    <row r="24" spans="1:6" x14ac:dyDescent="0.25">
      <c r="A24" s="9" t="s">
        <v>6</v>
      </c>
      <c r="B24" s="41"/>
      <c r="C24" s="41"/>
      <c r="D24" s="147"/>
      <c r="E24" s="148"/>
      <c r="F24" s="149"/>
    </row>
    <row r="25" spans="1:6" x14ac:dyDescent="0.25">
      <c r="A25" s="9" t="s">
        <v>7</v>
      </c>
      <c r="B25" s="41"/>
      <c r="C25" s="41"/>
      <c r="D25" s="147"/>
      <c r="E25" s="148"/>
      <c r="F25" s="149"/>
    </row>
    <row r="26" spans="1:6" x14ac:dyDescent="0.25">
      <c r="A26" s="9" t="s">
        <v>1</v>
      </c>
      <c r="B26" s="41"/>
      <c r="C26" s="41"/>
      <c r="D26" s="147"/>
      <c r="E26" s="148"/>
      <c r="F26" s="149"/>
    </row>
    <row r="27" spans="1:6" ht="15.75" thickBot="1" x14ac:dyDescent="0.3">
      <c r="A27" s="10" t="s">
        <v>1</v>
      </c>
      <c r="B27" s="42"/>
      <c r="C27" s="42"/>
      <c r="D27" s="150"/>
      <c r="E27" s="151"/>
      <c r="F27" s="152"/>
    </row>
    <row r="28" spans="1:6" s="14" customFormat="1" ht="13.5" thickBot="1" x14ac:dyDescent="0.25">
      <c r="A28" s="138" t="s">
        <v>8</v>
      </c>
      <c r="B28" s="139"/>
      <c r="C28" s="139"/>
      <c r="D28" s="139"/>
      <c r="E28" s="139"/>
      <c r="F28" s="140"/>
    </row>
    <row r="29" spans="1:6" s="3" customFormat="1" ht="18.75" x14ac:dyDescent="0.3">
      <c r="A29" s="8" t="s">
        <v>9</v>
      </c>
      <c r="B29" s="44"/>
      <c r="C29" s="155"/>
      <c r="D29" s="155"/>
      <c r="E29" s="144"/>
      <c r="F29" s="156"/>
    </row>
    <row r="30" spans="1:6" x14ac:dyDescent="0.25">
      <c r="A30" s="9" t="s">
        <v>47</v>
      </c>
      <c r="B30" s="41"/>
      <c r="C30" s="157"/>
      <c r="D30" s="157"/>
      <c r="E30" s="147"/>
      <c r="F30" s="158"/>
    </row>
    <row r="31" spans="1:6" x14ac:dyDescent="0.25">
      <c r="B31" s="41"/>
      <c r="C31" s="157"/>
      <c r="D31" s="157"/>
      <c r="E31" s="147"/>
      <c r="F31" s="158"/>
    </row>
    <row r="32" spans="1:6" x14ac:dyDescent="0.25">
      <c r="A32" s="9"/>
      <c r="B32" s="41"/>
      <c r="C32" s="157"/>
      <c r="D32" s="157"/>
      <c r="E32" s="147"/>
      <c r="F32" s="158"/>
    </row>
    <row r="33" spans="1:8" ht="15.75" thickBot="1" x14ac:dyDescent="0.3">
      <c r="A33" s="10"/>
      <c r="B33" s="42"/>
      <c r="C33" s="159"/>
      <c r="D33" s="159"/>
      <c r="E33" s="150"/>
      <c r="F33" s="160"/>
    </row>
    <row r="34" spans="1:8" ht="12.95" customHeight="1" x14ac:dyDescent="0.25">
      <c r="A34" s="54" t="s">
        <v>19</v>
      </c>
      <c r="B34" s="54"/>
      <c r="C34" s="54"/>
      <c r="D34" s="54"/>
      <c r="E34" s="54"/>
      <c r="F34" s="54"/>
      <c r="G34" s="7"/>
      <c r="H34" s="7"/>
    </row>
    <row r="35" spans="1:8" ht="12.95" customHeight="1" x14ac:dyDescent="0.25">
      <c r="A35" s="7" t="s">
        <v>20</v>
      </c>
      <c r="B35"/>
      <c r="C35"/>
      <c r="D35"/>
      <c r="E35"/>
      <c r="F35"/>
      <c r="G35" s="7"/>
      <c r="H35" s="7"/>
    </row>
    <row r="36" spans="1:8" ht="12.95" customHeight="1" x14ac:dyDescent="0.25">
      <c r="A36" s="153" t="s">
        <v>21</v>
      </c>
      <c r="B36" s="154"/>
      <c r="C36" s="154"/>
      <c r="D36" s="154"/>
      <c r="E36" s="154"/>
      <c r="F36" s="154"/>
      <c r="G36" s="7"/>
      <c r="H36" s="7"/>
    </row>
    <row r="37" spans="1:8" ht="12.95" customHeight="1" x14ac:dyDescent="0.25">
      <c r="A37" s="153" t="s">
        <v>22</v>
      </c>
      <c r="B37" s="154"/>
      <c r="C37" s="154"/>
      <c r="D37" s="154"/>
      <c r="E37" s="154"/>
      <c r="F37" s="154"/>
      <c r="G37" s="7"/>
      <c r="H37" s="7"/>
    </row>
    <row r="38" spans="1:8" ht="12.95" customHeight="1" x14ac:dyDescent="0.25">
      <c r="A38" s="153" t="s">
        <v>23</v>
      </c>
      <c r="B38" s="154"/>
      <c r="C38" s="154"/>
      <c r="D38" s="154"/>
      <c r="E38" s="154"/>
      <c r="F38" s="154"/>
      <c r="G38" s="7"/>
      <c r="H38" s="7"/>
    </row>
    <row r="39" spans="1:8" ht="12.95" customHeight="1" x14ac:dyDescent="0.25">
      <c r="A39" s="153" t="s">
        <v>24</v>
      </c>
      <c r="B39" s="154"/>
      <c r="C39" s="154"/>
      <c r="D39" s="154"/>
      <c r="E39" s="154"/>
      <c r="F39" s="154"/>
      <c r="G39" s="7"/>
      <c r="H39" s="7"/>
    </row>
    <row r="40" spans="1:8" ht="12.95" customHeight="1" x14ac:dyDescent="0.25">
      <c r="A40" s="153" t="s">
        <v>25</v>
      </c>
      <c r="B40" s="154"/>
      <c r="C40" s="154"/>
      <c r="D40" s="154"/>
      <c r="E40" s="154"/>
      <c r="F40" s="154"/>
      <c r="G40" s="7"/>
      <c r="H40" s="7"/>
    </row>
    <row r="41" spans="1:8" ht="12.95" customHeight="1" x14ac:dyDescent="0.25">
      <c r="A41" s="153" t="s">
        <v>26</v>
      </c>
      <c r="B41" s="154"/>
      <c r="C41" s="154"/>
      <c r="D41" s="154"/>
      <c r="E41" s="154"/>
      <c r="F41" s="154"/>
      <c r="G41" s="7"/>
      <c r="H41" s="7"/>
    </row>
    <row r="42" spans="1:8" ht="12.95" customHeight="1" x14ac:dyDescent="0.25">
      <c r="A42" s="153" t="s">
        <v>27</v>
      </c>
      <c r="B42" s="154"/>
      <c r="C42" s="154"/>
      <c r="D42" s="154"/>
      <c r="E42" s="154"/>
      <c r="F42" s="154"/>
      <c r="G42" s="7"/>
      <c r="H42" s="7"/>
    </row>
    <row r="43" spans="1:8" ht="12.95" customHeight="1" x14ac:dyDescent="0.25">
      <c r="A43" s="153" t="s">
        <v>28</v>
      </c>
      <c r="B43" s="154"/>
      <c r="C43" s="154"/>
      <c r="D43" s="154"/>
      <c r="E43" s="154"/>
      <c r="F43" s="154"/>
      <c r="G43" s="7"/>
      <c r="H43" s="7"/>
    </row>
    <row r="44" spans="1:8" ht="12.95" customHeight="1" x14ac:dyDescent="0.25">
      <c r="A44" s="153" t="s">
        <v>29</v>
      </c>
      <c r="B44" s="154"/>
      <c r="C44" s="154"/>
      <c r="D44" s="154"/>
      <c r="E44" s="154"/>
      <c r="F44" s="154"/>
      <c r="G44" s="7"/>
      <c r="H44" s="7"/>
    </row>
    <row r="45" spans="1:8" ht="12.95" customHeight="1" x14ac:dyDescent="0.25">
      <c r="A45" s="153" t="s">
        <v>30</v>
      </c>
      <c r="B45" s="154"/>
      <c r="C45" s="154"/>
      <c r="D45" s="154"/>
      <c r="E45" s="154"/>
      <c r="F45" s="154"/>
      <c r="G45" s="7"/>
      <c r="H45" s="7"/>
    </row>
    <row r="46" spans="1:8" ht="12.95" customHeight="1" x14ac:dyDescent="0.25">
      <c r="A46" s="153" t="s">
        <v>31</v>
      </c>
      <c r="B46" s="154"/>
      <c r="C46" s="154"/>
      <c r="D46" s="154"/>
      <c r="E46" s="154"/>
      <c r="F46" s="154"/>
      <c r="G46" s="7"/>
      <c r="H46" s="7"/>
    </row>
    <row r="47" spans="1:8" ht="12.95" customHeight="1" x14ac:dyDescent="0.25">
      <c r="A47" s="153" t="s">
        <v>32</v>
      </c>
      <c r="B47" s="154"/>
      <c r="C47" s="154"/>
      <c r="D47" s="154"/>
      <c r="E47" s="154"/>
      <c r="F47" s="154"/>
      <c r="G47" s="7"/>
      <c r="H47" s="7"/>
    </row>
    <row r="48" spans="1:8" ht="12.95" customHeight="1" x14ac:dyDescent="0.25">
      <c r="A48" s="153" t="s">
        <v>33</v>
      </c>
      <c r="B48" s="154"/>
      <c r="C48" s="154"/>
      <c r="D48" s="154"/>
      <c r="E48" s="154"/>
      <c r="F48" s="154"/>
      <c r="G48" s="7"/>
      <c r="H48" s="7"/>
    </row>
    <row r="49" spans="1:8" ht="12.95" customHeight="1" x14ac:dyDescent="0.25">
      <c r="A49" s="153" t="s">
        <v>34</v>
      </c>
      <c r="B49" s="154"/>
      <c r="C49" s="154"/>
      <c r="D49" s="154"/>
      <c r="E49" s="154"/>
      <c r="F49" s="154"/>
      <c r="G49" s="7"/>
      <c r="H49" s="7"/>
    </row>
    <row r="50" spans="1:8" ht="12.95" customHeight="1" x14ac:dyDescent="0.25"/>
    <row r="51" spans="1:8" ht="12.95" customHeight="1" x14ac:dyDescent="0.25"/>
    <row r="52" spans="1:8" ht="12.95" customHeight="1" x14ac:dyDescent="0.25"/>
    <row r="53" spans="1:8" ht="12.95" customHeight="1" x14ac:dyDescent="0.25">
      <c r="A53" s="161" t="s">
        <v>36</v>
      </c>
      <c r="B53" s="161"/>
      <c r="C53" s="161"/>
      <c r="D53" s="161"/>
      <c r="E53" s="161"/>
      <c r="F53" s="161"/>
    </row>
    <row r="54" spans="1:8" ht="12.95" customHeight="1" x14ac:dyDescent="0.25">
      <c r="A54" s="162" t="s">
        <v>35</v>
      </c>
      <c r="B54" s="162"/>
      <c r="C54" s="162"/>
      <c r="D54" s="162"/>
      <c r="E54" s="162"/>
      <c r="F54" s="162"/>
    </row>
  </sheetData>
  <mergeCells count="39">
    <mergeCell ref="A49:F49"/>
    <mergeCell ref="A53:F53"/>
    <mergeCell ref="A54:F54"/>
    <mergeCell ref="A43:F43"/>
    <mergeCell ref="A44:F44"/>
    <mergeCell ref="A45:F45"/>
    <mergeCell ref="A46:F46"/>
    <mergeCell ref="A47:F47"/>
    <mergeCell ref="A48:F48"/>
    <mergeCell ref="A42:F42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1:F41"/>
    <mergeCell ref="A28:F28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F12:F15"/>
    <mergeCell ref="A1:F1"/>
    <mergeCell ref="A2:F2"/>
    <mergeCell ref="B4:D4"/>
    <mergeCell ref="D8:E8"/>
    <mergeCell ref="A10:F10"/>
  </mergeCells>
  <printOptions horizontalCentered="1"/>
  <pageMargins left="0" right="0" top="0" bottom="0" header="0.31496062992125984" footer="0.31496062992125984"/>
  <pageSetup scale="8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USUARIOS!$B$4:$B$56</xm:f>
          </x14:formula1>
          <xm:sqref>B4:D4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B3:F21"/>
  <sheetViews>
    <sheetView workbookViewId="0">
      <selection activeCell="F8" sqref="F8"/>
    </sheetView>
  </sheetViews>
  <sheetFormatPr baseColWidth="10" defaultRowHeight="15" x14ac:dyDescent="0.25"/>
  <cols>
    <col min="2" max="3" width="11.42578125" style="57"/>
    <col min="4" max="4" width="26.42578125" customWidth="1"/>
    <col min="5" max="5" width="14.7109375" style="57" customWidth="1"/>
    <col min="6" max="6" width="85.85546875" bestFit="1" customWidth="1"/>
  </cols>
  <sheetData>
    <row r="3" spans="2:6" ht="15.75" thickBot="1" x14ac:dyDescent="0.3"/>
    <row r="4" spans="2:6" ht="15.75" thickBot="1" x14ac:dyDescent="0.3">
      <c r="B4" s="86" t="s">
        <v>12</v>
      </c>
      <c r="C4" s="87" t="s">
        <v>279</v>
      </c>
      <c r="D4" s="87" t="s">
        <v>280</v>
      </c>
      <c r="E4" s="87" t="s">
        <v>281</v>
      </c>
      <c r="F4" s="88" t="s">
        <v>10</v>
      </c>
    </row>
    <row r="5" spans="2:6" x14ac:dyDescent="0.25">
      <c r="B5" s="102" t="s">
        <v>50</v>
      </c>
      <c r="D5" s="95" t="s">
        <v>396</v>
      </c>
      <c r="E5" s="106">
        <v>45992</v>
      </c>
      <c r="F5" s="96"/>
    </row>
    <row r="6" spans="2:6" ht="15.75" thickBot="1" x14ac:dyDescent="0.3">
      <c r="B6" s="103" t="s">
        <v>50</v>
      </c>
      <c r="C6" s="92" t="s">
        <v>283</v>
      </c>
      <c r="D6" s="91" t="s">
        <v>397</v>
      </c>
      <c r="E6" s="112">
        <v>45689</v>
      </c>
      <c r="F6" s="97" t="s">
        <v>399</v>
      </c>
    </row>
    <row r="7" spans="2:6" x14ac:dyDescent="0.25">
      <c r="B7" s="104" t="s">
        <v>50</v>
      </c>
      <c r="C7" s="94" t="s">
        <v>282</v>
      </c>
      <c r="D7" s="89" t="s">
        <v>398</v>
      </c>
      <c r="E7" s="93">
        <v>46112</v>
      </c>
      <c r="F7" s="98" t="s">
        <v>401</v>
      </c>
    </row>
    <row r="8" spans="2:6" x14ac:dyDescent="0.25">
      <c r="B8" s="104" t="s">
        <v>50</v>
      </c>
      <c r="C8" s="90"/>
      <c r="D8" s="89"/>
      <c r="E8" s="93"/>
      <c r="F8" s="98"/>
    </row>
    <row r="9" spans="2:6" x14ac:dyDescent="0.25">
      <c r="B9" s="104" t="s">
        <v>50</v>
      </c>
      <c r="C9" s="90"/>
      <c r="D9" s="89"/>
      <c r="E9" s="93"/>
      <c r="F9" s="98"/>
    </row>
    <row r="10" spans="2:6" x14ac:dyDescent="0.25">
      <c r="B10" s="104" t="s">
        <v>145</v>
      </c>
      <c r="C10" s="90" t="s">
        <v>277</v>
      </c>
      <c r="D10" s="89"/>
      <c r="E10" s="93"/>
      <c r="F10" s="98"/>
    </row>
    <row r="11" spans="2:6" x14ac:dyDescent="0.25">
      <c r="B11" s="104"/>
      <c r="C11" s="90"/>
      <c r="D11" s="89"/>
      <c r="E11" s="90"/>
      <c r="F11" s="98"/>
    </row>
    <row r="12" spans="2:6" x14ac:dyDescent="0.25">
      <c r="B12" s="104"/>
      <c r="C12" s="90"/>
      <c r="D12" s="89"/>
      <c r="E12" s="90"/>
      <c r="F12" s="98"/>
    </row>
    <row r="13" spans="2:6" x14ac:dyDescent="0.25">
      <c r="B13" s="104"/>
      <c r="C13" s="90"/>
      <c r="D13" s="89"/>
      <c r="E13" s="90"/>
      <c r="F13" s="98"/>
    </row>
    <row r="14" spans="2:6" x14ac:dyDescent="0.25">
      <c r="B14" s="104"/>
      <c r="C14" s="90"/>
      <c r="D14" s="89"/>
      <c r="E14" s="90"/>
      <c r="F14" s="98"/>
    </row>
    <row r="15" spans="2:6" x14ac:dyDescent="0.25">
      <c r="B15" s="104"/>
      <c r="C15" s="90"/>
      <c r="D15" s="89"/>
      <c r="E15" s="90"/>
      <c r="F15" s="98"/>
    </row>
    <row r="16" spans="2:6" x14ac:dyDescent="0.25">
      <c r="B16" s="104"/>
      <c r="C16" s="90"/>
      <c r="D16" s="89"/>
      <c r="E16" s="90"/>
      <c r="F16" s="98"/>
    </row>
    <row r="17" spans="2:6" x14ac:dyDescent="0.25">
      <c r="B17" s="104"/>
      <c r="C17" s="90"/>
      <c r="D17" s="89"/>
      <c r="E17" s="90"/>
      <c r="F17" s="98"/>
    </row>
    <row r="18" spans="2:6" x14ac:dyDescent="0.25">
      <c r="B18" s="104"/>
      <c r="C18" s="90"/>
      <c r="D18" s="89"/>
      <c r="E18" s="90"/>
      <c r="F18" s="98"/>
    </row>
    <row r="19" spans="2:6" x14ac:dyDescent="0.25">
      <c r="B19" s="104"/>
      <c r="C19" s="90"/>
      <c r="D19" s="89"/>
      <c r="E19" s="90"/>
      <c r="F19" s="98"/>
    </row>
    <row r="20" spans="2:6" x14ac:dyDescent="0.25">
      <c r="B20" s="104"/>
      <c r="C20" s="90"/>
      <c r="D20" s="89"/>
      <c r="E20" s="90"/>
      <c r="F20" s="98"/>
    </row>
    <row r="21" spans="2:6" ht="15.75" thickBot="1" x14ac:dyDescent="0.3">
      <c r="B21" s="105"/>
      <c r="C21" s="99"/>
      <c r="D21" s="100"/>
      <c r="E21" s="99"/>
      <c r="F21" s="10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GRAFICA DE USO</vt:lpstr>
      <vt:lpstr>ESTADISTICAS</vt:lpstr>
      <vt:lpstr>BIO 1</vt:lpstr>
      <vt:lpstr>BIO 2</vt:lpstr>
      <vt:lpstr>VALE SALIDA</vt:lpstr>
      <vt:lpstr>BIO 3</vt:lpstr>
      <vt:lpstr>BIO 4</vt:lpstr>
      <vt:lpstr>BIO 5</vt:lpstr>
      <vt:lpstr>BIO 6</vt:lpstr>
      <vt:lpstr>BIO 7</vt:lpstr>
      <vt:lpstr>BIO 8</vt:lpstr>
      <vt:lpstr>USUARIOS</vt:lpstr>
      <vt:lpstr>GENERAL</vt:lpstr>
      <vt:lpstr>INTERNET</vt:lpstr>
      <vt:lpstr>LAP A PRESTAMO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Firmas Virtuales</dc:creator>
  <cp:lastModifiedBy>Rodrigo Gonzalez Cuahonte</cp:lastModifiedBy>
  <cp:lastPrinted>2026-06-22T18:05:45Z</cp:lastPrinted>
  <dcterms:created xsi:type="dcterms:W3CDTF">2022-05-30T16:22:38Z</dcterms:created>
  <dcterms:modified xsi:type="dcterms:W3CDTF">2026-06-23T17:00:56Z</dcterms:modified>
</cp:coreProperties>
</file>